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firstSheet="4"/>
  </bookViews>
  <sheets>
    <sheet name="角色卡" sheetId="1" r:id="rId1"/>
    <sheet name="属性与灵识" sheetId="2" r:id="rId2"/>
    <sheet name="时髦动作" sheetId="11" r:id="rId3"/>
    <sheet name="通用效果" sheetId="13" r:id="rId4"/>
    <sheet name="武技" sheetId="8" r:id="rId5"/>
    <sheet name="术法" sheetId="9" r:id="rId6"/>
    <sheet name="灵能印记" sheetId="5" r:id="rId7"/>
    <sheet name="专长" sheetId="6" r:id="rId8"/>
    <sheet name="绝技" sheetId="7" r:id="rId9"/>
    <sheet name="更新日志" sheetId="14" r:id="rId10"/>
    <sheet name="空白" sheetId="4" state="hidden" r:id="rId11"/>
  </sheets>
  <definedNames>
    <definedName name="攻击">角色卡!$U$6:$U$9</definedName>
    <definedName name="组合风格_25消耗">时髦动作!$F$28:$F$32</definedName>
    <definedName name="策定山河_5消耗">时髦动作!$D$5</definedName>
    <definedName name="组合风格_20消耗">时髦动作!$F$22:$F$26</definedName>
    <definedName name="组合风格_5消耗">时髦动作!$F$4:$F$8</definedName>
    <definedName name="组合风格_15消耗">时髦动作!$F$16:$F$20</definedName>
    <definedName name="组合风格_10消耗">时髦动作!$F$10:$F$14</definedName>
    <definedName name="策定山河_10消耗">时髦动作!$D$6</definedName>
    <definedName name="策定山河_15消耗">时髦动作!$D$7</definedName>
    <definedName name="策定山河_20消耗">时髦动作!$D$8</definedName>
    <definedName name="策定山河_25消耗">时髦动作!$D$9</definedName>
    <definedName name="玩世不恭_5消耗">时髦动作!$D$15</definedName>
    <definedName name="玩世不恭_10消耗">时髦动作!$D$16</definedName>
    <definedName name="玩世不恭_15消耗">时髦动作!$D$17</definedName>
    <definedName name="玩世不恭_20消耗">时髦动作!$D$18</definedName>
    <definedName name="玩世不恭_25消耗">时髦动作!$D$19</definedName>
    <definedName name="快意恩仇_5消耗">时髦动作!$D$20</definedName>
    <definedName name="快意恩仇_10消耗">时髦动作!$D$21</definedName>
    <definedName name="快意恩仇_15消耗">时髦动作!$D$22</definedName>
    <definedName name="快意恩仇_20消耗">时髦动作!$D$23</definedName>
    <definedName name="快意恩仇_25消耗">时髦动作!$D$24</definedName>
    <definedName name="百折不挠_5消耗">时髦动作!$D$25</definedName>
    <definedName name="百折不挠_10消耗">时髦动作!$D$26</definedName>
    <definedName name="百折不挠_15消耗">时髦动作!$D$27</definedName>
    <definedName name="百折不挠_20消耗">时髦动作!$D$28</definedName>
    <definedName name="百折不挠_25消耗">时髦动作!$D$29</definedName>
    <definedName name="其他风格_5消耗">时髦动作!$D$33</definedName>
    <definedName name="其他风格_10消耗">时髦动作!$D$34</definedName>
    <definedName name="其他风格_15消耗">时髦动作!$D$35</definedName>
    <definedName name="其他风格_20消耗">时髦动作!$D$36</definedName>
    <definedName name="其他风格_25消耗">时髦动作!$D$37</definedName>
    <definedName name="_专长描述1">专长!$E$2</definedName>
    <definedName name="_专长描述2">专长!$F$2</definedName>
    <definedName name="_专长名称1">专长!$I$4:$I$33</definedName>
    <definedName name="_专长名称2">专长!$J$4:$J$33</definedName>
    <definedName name="_专精名称2">通用效果!$K$4:$K$19</definedName>
    <definedName name="_专精名称1">通用效果!$J$4:$J$19</definedName>
    <definedName name="_灵能印记1">灵能印记!$I$4:$I$30</definedName>
    <definedName name="_灵能印记2">灵能印记!$J$4:$J$30</definedName>
    <definedName name="武技">武技!$B$4:$B$60</definedName>
    <definedName name="武技_效果1">武技!$J$4</definedName>
    <definedName name="武技_效果2">武技!$J$5</definedName>
    <definedName name="武技_效果3">武技!$J$6</definedName>
    <definedName name="武技_效果4">武技!$J$7</definedName>
    <definedName name="武技_效果5">武技!$J$8</definedName>
    <definedName name="武技_效果6">武技!$J$9</definedName>
    <definedName name="武技_效果7">武技!$J$10</definedName>
    <definedName name="武技_效果8">武技!$J$11</definedName>
    <definedName name="武技_效果9">武技!$J$12</definedName>
    <definedName name="武技_效果10">武技!$J$13</definedName>
    <definedName name="武技_效果11">武技!$J$14</definedName>
    <definedName name="武技_效果12">武技!$J$15</definedName>
    <definedName name="武技_效果13">武技!$J$16</definedName>
    <definedName name="武技_效果14">武技!$J$17</definedName>
    <definedName name="武技_效果15">武技!$J$18</definedName>
    <definedName name="武技_效果16">武技!$J$19</definedName>
    <definedName name="武技_效果17">武技!$J$20</definedName>
    <definedName name="武技_效果18">武技!$J$21</definedName>
    <definedName name="术法">术法!$B$4:$B$133</definedName>
    <definedName name="术法_效果1">术法!$K$6</definedName>
    <definedName name="术法_效果2">术法!$K$4</definedName>
    <definedName name="术法_效果3">术法!$K$5</definedName>
    <definedName name="术法_效果4">术法!$K$7</definedName>
    <definedName name="术法_效果5">术法!$K$8</definedName>
    <definedName name="术法_效果6">术法!$K$9</definedName>
    <definedName name="术法_效果7">术法!$K$10</definedName>
    <definedName name="术法_效果8">术法!$K$11</definedName>
    <definedName name="术法_效果9">术法!$K$12</definedName>
    <definedName name="术法_效果10">术法!$K$13</definedName>
    <definedName name="术法_效果11">术法!$K$14</definedName>
    <definedName name="术法_效果12">术法!$K$15</definedName>
    <definedName name="术法_效果13">术法!$K$16</definedName>
    <definedName name="术法_效果14">术法!$K$17</definedName>
    <definedName name="术法_效果15">术法!$K$18</definedName>
    <definedName name="术法_效果16">术法!$K$19</definedName>
    <definedName name="术法_效果17">术法!$K$20</definedName>
    <definedName name="术法_效果18">术法!$K$21</definedName>
    <definedName name="勾选">角色卡!$CI$4:$CI$6</definedName>
    <definedName name="二挡绝技效果">绝技!$I$12</definedName>
    <definedName name="时髦风格">时髦动作!$G$3:$G$10</definedName>
    <definedName name="空白">角色卡!$CI$6</definedName>
    <definedName name="_灵能印记3">灵能印记!$K$4:$K$30</definedName>
    <definedName name="_灵能印记4">灵能印记!$L$4:$L$30</definedName>
    <definedName name="一挡绝技效果">绝技!$I$4</definedName>
    <definedName name="无畏守护_5消耗">时髦动作!$D$10</definedName>
    <definedName name="无畏守护_10消耗">时髦动作!$D$11</definedName>
    <definedName name="无畏守护_15消耗">时髦动作!$D$12</definedName>
    <definedName name="无畏守护_20消耗">时髦动作!$D$13</definedName>
    <definedName name="无畏守护_25消耗">时髦动作!$D$14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lenovo</author>
  </authors>
  <commentList>
    <comment ref="AH18" authorId="0">
      <text>
        <r>
          <rPr>
            <sz val="9"/>
            <rFont val="宋体"/>
            <charset val="134"/>
          </rPr>
          <t>涵盖了角色身体素质和身体控制能力的表现，如跑步、跳跃、攀爬、游泳等。它可以用于跨越障碍，如跳过沟壑、攀爬陡峭的墙壁、在湍急的河流中游泳等。
·例如，你可以进行运动技能检定来判断你能否在密集的人群中挤过而不被阻挠，或者能否成功地跃过一个较高的障碍物。</t>
        </r>
      </text>
    </comment>
    <comment ref="AH19" authorId="0">
      <text>
        <r>
          <rPr>
            <sz val="9"/>
            <rFont val="宋体"/>
            <charset val="134"/>
          </rPr>
          <t>体现了角色对操纵工具、使用物品的掌握程度。通过该检定，可以判断角色能否熟练地使用某种工具；制造、修理或拆卸某种物品；驾驶各种载具；操纵复杂的机械装置，乃至启动古代墨家机关等。</t>
        </r>
      </text>
    </comment>
    <comment ref="AH20" authorId="0">
      <text>
        <r>
          <rPr>
            <sz val="9"/>
            <rFont val="宋体"/>
            <charset val="134"/>
          </rPr>
          <t>当角色尝试在不被察觉的情况下行动时，他可以进行隐秘技能检定。这包括隐藏身形、掩盖踪迹、盗取物品、消除线索或者接近目标而不被发现等一系列行为。有时，角色也可以利用环境因素，如阴影、障碍物来隐藏自己。</t>
        </r>
      </text>
    </comment>
    <comment ref="AH21" authorId="0">
      <text>
        <r>
          <rPr>
            <sz val="9"/>
            <rFont val="宋体"/>
            <charset val="134"/>
          </rPr>
          <t>用于收集信息、寻找线索和破解谜团。它可以是单纯地观察周围环境，也可以是仔细检查物体、分析证据。无论哪种方式，当你想要在场景中寻找有用的线索，你都可以进行调查技能检定。此外，当你对收集到的线索进行推理分析时，也可以进行调查。</t>
        </r>
      </text>
    </comment>
    <comment ref="AH22" authorId="0">
      <text>
        <r>
          <rPr>
            <sz val="9"/>
            <rFont val="宋体"/>
            <charset val="134"/>
          </rPr>
          <t>代表角色察言观色的能力。通过洞察技能检定，你可以在与他人的交流中，观察他人的表情、语气、肢体语言等细微之处，来感知他人的情绪、察觉他人意图或是判断出他人是否有所隐瞒等。
·比如，通过洞察技能检定来判断你能否发现一个商人在交易中对你有所隐瞒，或是能否看出一个陌生人对你怀有敌意。</t>
        </r>
      </text>
    </comment>
    <comment ref="BG22" authorId="0">
      <text>
        <r>
          <rPr>
            <sz val="9"/>
            <rFont val="宋体"/>
            <charset val="134"/>
          </rPr>
          <t>需要心魂≥6，并消耗4经验锻造</t>
        </r>
      </text>
    </comment>
    <comment ref="AH23" authorId="0">
      <text>
        <r>
          <rPr>
            <sz val="9"/>
            <rFont val="宋体"/>
            <charset val="134"/>
          </rPr>
          <t>常用于影响他人的想法或行为。无论是通过威逼、利诱还是劝导，你可以通过说服技能检定，让他人接受你的观点、建议或指示。在与他人互动时，你可以使用说服技能来达成各种目的，如获得帮助、获取信息、避免冲突等等。</t>
        </r>
      </text>
    </comment>
    <comment ref="B24" authorId="0">
      <text>
        <r>
          <rPr>
            <sz val="9"/>
            <rFont val="宋体"/>
            <charset val="134"/>
          </rPr>
          <t>通常不填写，仅供边缘人拓展使用。复数标签以“；”分割</t>
        </r>
      </text>
    </comment>
    <comment ref="AH24" authorId="0">
      <text>
        <r>
          <rPr>
            <sz val="9"/>
            <rFont val="宋体"/>
            <charset val="134"/>
          </rPr>
          <t>是一种较为特殊的技能，且不与任何属性挂钩。一般而言，你只能通过获取技能点来提升它。狩魂学识涉及对灵魂、超自然力量和神秘学领域的了解和掌握。
·它还包括感知灵魂气息、了解解析法阵、掌握相关的术法或仪式，以及超度无害鬼魂的作用。</t>
        </r>
      </text>
    </comment>
    <comment ref="BG24" authorId="0">
      <text>
        <r>
          <rPr>
            <sz val="9"/>
            <rFont val="宋体"/>
            <charset val="134"/>
          </rPr>
          <t xml:space="preserve">需要心魂≥8，并消耗4经验锻造
</t>
        </r>
      </text>
    </comment>
    <comment ref="AS26" authorId="0">
      <text>
        <r>
          <rPr>
            <sz val="9"/>
            <rFont val="宋体"/>
            <charset val="134"/>
          </rPr>
          <t>通常不填写，仅供边缘人拓展使用</t>
        </r>
      </text>
    </comment>
    <comment ref="Q29" authorId="0">
      <text>
        <r>
          <rPr>
            <sz val="9"/>
            <rFont val="宋体"/>
            <charset val="134"/>
          </rPr>
          <t>进行狩魂学识检定时，可以激活经历标签，一个标签在一次聚会中只能激活一次。</t>
        </r>
      </text>
    </comment>
    <comment ref="AH29" authorId="0">
      <text>
        <r>
          <rPr>
            <sz val="9"/>
            <rFont val="宋体"/>
            <charset val="134"/>
          </rPr>
          <t>如有需要，填写你的【狩魂道具】，专长【灵兽招来】的具体内容，表格中放不下的武技术法等</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<sst xmlns="http://schemas.openxmlformats.org/spreadsheetml/2006/main" count="2198" uniqueCount="1025">
  <si>
    <t>本卡用以进行《狩魂者TRPG》游戏，使用规则为正式版，如与规则书有出入请以规则书为准。建议使用电脑WPS打开。</t>
  </si>
  <si>
    <t>狩魂者官方QQ交流一群579621236、二群1027976807。更新日志见附表。如发现BUG或有功能建议，请联系QQ2665468556——by肠子里的黄</t>
  </si>
  <si>
    <t>你的头像
（插入图片时需手动撤销工作表保护）</t>
  </si>
  <si>
    <t>灵能力</t>
  </si>
  <si>
    <t>时髦动作</t>
  </si>
  <si>
    <t>☑</t>
  </si>
  <si>
    <t>灵能力名称</t>
  </si>
  <si>
    <t>灵能力专精</t>
  </si>
  <si>
    <t/>
  </si>
  <si>
    <t>时髦风格</t>
  </si>
  <si>
    <t>消耗</t>
  </si>
  <si>
    <t>动作名和效果</t>
  </si>
  <si>
    <t>☐</t>
  </si>
  <si>
    <t>通用</t>
  </si>
  <si>
    <t>50时髦值</t>
  </si>
  <si>
    <t>超灵觉醒-你进行攻击检定时，你通过加骰获得的骰值全部翻倍，然后你投掷一枚 D6，获得对应数值的经验值。</t>
  </si>
  <si>
    <t xml:space="preserve"> </t>
  </si>
  <si>
    <t>灵能力描述</t>
  </si>
  <si>
    <t>5时髦值</t>
  </si>
  <si>
    <t>10时髦值</t>
  </si>
  <si>
    <t>15时髦值</t>
  </si>
  <si>
    <t>20时髦值</t>
  </si>
  <si>
    <t>狩魂者信息</t>
  </si>
  <si>
    <t>基础属性</t>
  </si>
  <si>
    <t>技能表</t>
  </si>
  <si>
    <t>25时髦值</t>
  </si>
  <si>
    <t>姓名</t>
  </si>
  <si>
    <t>代号</t>
  </si>
  <si>
    <t>体魄</t>
  </si>
  <si>
    <t>武技强度</t>
  </si>
  <si>
    <t>技能名称</t>
  </si>
  <si>
    <t>属性附加</t>
  </si>
  <si>
    <t>自由分配</t>
  </si>
  <si>
    <t>技能等级</t>
  </si>
  <si>
    <t>性别</t>
  </si>
  <si>
    <t>年龄</t>
  </si>
  <si>
    <t>运动</t>
  </si>
  <si>
    <t>狩魂羁绊</t>
  </si>
  <si>
    <t>智慧</t>
  </si>
  <si>
    <t>术法强度</t>
  </si>
  <si>
    <t>操作</t>
  </si>
  <si>
    <t>灵魂武器</t>
  </si>
  <si>
    <t>一挡绝技</t>
  </si>
  <si>
    <t>二挡绝技</t>
  </si>
  <si>
    <t>隐秘</t>
  </si>
  <si>
    <t>名称</t>
  </si>
  <si>
    <t>心魂</t>
  </si>
  <si>
    <t>灵能力强度</t>
  </si>
  <si>
    <t>调查</t>
  </si>
  <si>
    <t>洞察</t>
  </si>
  <si>
    <t>灵能印记</t>
  </si>
  <si>
    <r>
      <rPr>
        <sz val="11"/>
        <color theme="0" tint="-0.25"/>
        <rFont val="宋体"/>
        <charset val="134"/>
      </rPr>
      <t>☐</t>
    </r>
  </si>
  <si>
    <t>类型</t>
  </si>
  <si>
    <t>说服</t>
  </si>
  <si>
    <t>业力标签</t>
  </si>
  <si>
    <t>生命值</t>
  </si>
  <si>
    <t>/</t>
  </si>
  <si>
    <t>灵力值</t>
  </si>
  <si>
    <t>狩魂学识</t>
  </si>
  <si>
    <t>对应魂魄</t>
  </si>
  <si>
    <t>背景故事</t>
  </si>
  <si>
    <t>总技能点</t>
  </si>
  <si>
    <t>剩余技能点</t>
  </si>
  <si>
    <t>灵识</t>
  </si>
  <si>
    <t>初始
时髦值</t>
  </si>
  <si>
    <t>道具点
上限</t>
  </si>
  <si>
    <t>经验值</t>
  </si>
  <si>
    <t>事件业力</t>
  </si>
  <si>
    <t>外形描述</t>
  </si>
  <si>
    <t>效果</t>
  </si>
  <si>
    <t>经历标签</t>
  </si>
  <si>
    <t>备注</t>
  </si>
  <si>
    <t>绝技描述</t>
  </si>
  <si>
    <t>专长1</t>
  </si>
  <si>
    <t>专长2</t>
  </si>
  <si>
    <t>描述</t>
  </si>
  <si>
    <t>武技表</t>
  </si>
  <si>
    <t>术法表</t>
  </si>
  <si>
    <t>目标</t>
  </si>
  <si>
    <t>辅助</t>
  </si>
  <si>
    <t>秘传</t>
  </si>
  <si>
    <t>风味描述</t>
  </si>
  <si>
    <t>类别</t>
  </si>
  <si>
    <t>注：下列自定义表仅供特定情况下使用，玩家并不能自由创建自定义武技/术法。</t>
  </si>
  <si>
    <t>自定义武技表</t>
  </si>
  <si>
    <t>自定义术法表</t>
  </si>
  <si>
    <t>强化</t>
  </si>
  <si>
    <t>右键左侧单元格，选择复制，右键右侧单元格，选择粘贴为数值
双击右侧单元格全文复制，发送给搭载专用插件的骰子，即可录入数据
如需查询录卡步骤/掷骰指令，向骰子发送.help shst/.help sh</t>
  </si>
  <si>
    <t>属性等级表</t>
  </si>
  <si>
    <t>灵识提升表</t>
  </si>
  <si>
    <t>等级</t>
  </si>
  <si>
    <t>属性值</t>
  </si>
  <si>
    <t>属性强度</t>
  </si>
  <si>
    <t>狩魂者获得成长</t>
  </si>
  <si>
    <t>E</t>
  </si>
  <si>
    <t>习得基础武技“常规攻击”和基础术法“灵迹”，从基础术法“凝爆”和
“超感”中选择一个习得，然后在智慧等级5习得另外一个。</t>
  </si>
  <si>
    <t>获得一项自选专长</t>
  </si>
  <si>
    <t>获得你的灵魂武器</t>
  </si>
  <si>
    <t>D</t>
  </si>
  <si>
    <r>
      <rPr>
        <b/>
        <sz val="11"/>
        <color theme="1"/>
        <rFont val="微软雅黑"/>
        <charset val="134"/>
      </rPr>
      <t>可以学习普通武技</t>
    </r>
    <r>
      <rPr>
        <sz val="11"/>
        <color theme="1"/>
        <rFont val="微软雅黑"/>
        <charset val="134"/>
      </rPr>
      <t xml:space="preserve">
习得1项自选武技</t>
    </r>
  </si>
  <si>
    <r>
      <rPr>
        <b/>
        <sz val="11"/>
        <color theme="1"/>
        <rFont val="微软雅黑"/>
        <charset val="134"/>
      </rPr>
      <t>可以学习普通术法</t>
    </r>
    <r>
      <rPr>
        <sz val="11"/>
        <color theme="1"/>
        <rFont val="微软雅黑"/>
        <charset val="134"/>
      </rPr>
      <t xml:space="preserve">
习得2项自选术法
获得1点技能点</t>
    </r>
  </si>
  <si>
    <t>获得1项灵能力专精</t>
  </si>
  <si>
    <t>习得一挡狩魂绝技</t>
  </si>
  <si>
    <t>获得另一项新的自选专长</t>
  </si>
  <si>
    <t>习得二挡狩魂绝技</t>
  </si>
  <si>
    <t>C</t>
  </si>
  <si>
    <t>习得1项自选武技</t>
  </si>
  <si>
    <t>习得2项自选术法
获得1点技能点</t>
  </si>
  <si>
    <t>提前获得灵魂武器</t>
  </si>
  <si>
    <t>你目前的灵识等级为</t>
  </si>
  <si>
    <t>级，因此你累计可以获得以下提升：</t>
  </si>
  <si>
    <t>B</t>
  </si>
  <si>
    <t>-</t>
  </si>
  <si>
    <t>获得1点技能点</t>
  </si>
  <si>
    <t>A</t>
  </si>
  <si>
    <t>觉醒额外灵能印记</t>
  </si>
  <si>
    <t>S</t>
  </si>
  <si>
    <t>SS</t>
  </si>
  <si>
    <r>
      <rPr>
        <b/>
        <sz val="11"/>
        <color theme="1"/>
        <rFont val="微软雅黑"/>
        <charset val="134"/>
      </rPr>
      <t>可以学习秘传武技</t>
    </r>
    <r>
      <rPr>
        <sz val="11"/>
        <color theme="1"/>
        <rFont val="微软雅黑"/>
        <charset val="134"/>
      </rPr>
      <t xml:space="preserve">
习得1项自选武技</t>
    </r>
  </si>
  <si>
    <r>
      <rPr>
        <b/>
        <sz val="11"/>
        <color theme="1"/>
        <rFont val="微软雅黑"/>
        <charset val="134"/>
      </rPr>
      <t>可以学习秘传术法</t>
    </r>
    <r>
      <rPr>
        <sz val="11"/>
        <color theme="1"/>
        <rFont val="微软雅黑"/>
        <charset val="134"/>
      </rPr>
      <t xml:space="preserve">
习得2项自选术法
获得1点技能点</t>
    </r>
  </si>
  <si>
    <t>创造新的灵能力标签</t>
  </si>
  <si>
    <t>基于体魄等级，可习得共计</t>
  </si>
  <si>
    <t>项基础以外的武技</t>
  </si>
  <si>
    <t>基于智慧等级，可习得共计</t>
  </si>
  <si>
    <t>项基础以外的术法</t>
  </si>
  <si>
    <t>获得共计</t>
  </si>
  <si>
    <t>点技能点</t>
  </si>
  <si>
    <t>基于心魂等级，能够拥有</t>
  </si>
  <si>
    <t>个基础灵能印记</t>
  </si>
  <si>
    <t>SSS</t>
  </si>
  <si>
    <t>项专长</t>
  </si>
  <si>
    <t>项灵能力专精</t>
  </si>
  <si>
    <t>SSS+</t>
  </si>
  <si>
    <t>五消耗</t>
  </si>
  <si>
    <t>策定山河</t>
  </si>
  <si>
    <t>超灵觉醒-你进行攻击检定时，你通过加骰获得的骰值全部翻倍，然后你投掷一枚 D6，你获得对应数值的经验值。</t>
  </si>
  <si>
    <t>修养身心-在任意时刻，你对自身造成【增加灵力2】。</t>
  </si>
  <si>
    <t>玩世不恭</t>
  </si>
  <si>
    <t>加固防御-当你选择防御时，你可以额外投掷 1 枚加骰将结果加入挑战值中。</t>
  </si>
  <si>
    <t>无畏守护</t>
  </si>
  <si>
    <t>早有预料-你的回合即将开始时，你可以无需消耗行动立即施展一个效果术法。</t>
  </si>
  <si>
    <t>小偷小摸-在任意时刻，你对自身造成【造物1】。</t>
  </si>
  <si>
    <t>快意恩仇</t>
  </si>
  <si>
    <t>绝代名策-你在进行攻击检定时，如果对方选择反击，你可以获得3枚加骰（仅本次）。</t>
  </si>
  <si>
    <t>磨砺锐气-在任意时刻，你对自身造成【强化攻击1】，你通过此时髦动作获得的【效果】还未失效时，不能再使用该时髦动作。</t>
  </si>
  <si>
    <t>百折不挠</t>
  </si>
  <si>
    <t>战术切换-新的轮次开始时，对先序的狩魂者造成【强化防御2】，对后序的狩魂者造成【强化攻击2】。</t>
  </si>
  <si>
    <t>呼吸回血-在任意时刻，你对自身造成【恢复1】。</t>
  </si>
  <si>
    <t>组合风格</t>
  </si>
  <si>
    <t>胜天半子-同场景内的生物进行行动检定成功时（包括你自己），你可以改变本次行动检定获得的【成功等级】，你可以在1~5个【成功等级】中选择。</t>
  </si>
  <si>
    <t>十消耗</t>
  </si>
  <si>
    <t>其他风格</t>
  </si>
  <si>
    <t>奋不顾身-其他狩魂者受到单个【效果】时，你可以代替他承受该【效果】。</t>
  </si>
  <si>
    <t>无畏前锋-新的轮次开始时，若你启动该时髦动作，则本轮中，所有敌人的攻击检定必须对你施展。</t>
  </si>
  <si>
    <t>不行重来-你进行一次行动检定后，如果你觉得这次行动检定不符合你的心意，你可以重骰本次行动检定，但你必须接受新的出值与结果。</t>
  </si>
  <si>
    <t>绝对防御-当前场景中的单一生物受到【伤害】时，你可以令该生物获得对应的【伤害免疫】持续到当前战斗轮结束。</t>
  </si>
  <si>
    <t>刀间舔血-当你选择反击进行攻击检定时，该次检定可以获得2枚加骰。如果你的该次反击的攻击检定小于对方的攻击检定，对方本次进行攻击检定的挑战值减少5点。</t>
  </si>
  <si>
    <t>永续守护-当你退场时，你可以启动该时髦动作。当前场景中，生物进行行动检定时，你可以为这些行动检定都增加一枚时髦骰。</t>
  </si>
  <si>
    <t>坚韧不拔-在任意时刻，你对自身造成【清除效果2】。</t>
  </si>
  <si>
    <t>云手摘月-在任意时刻，你对自身造成【造物1】。</t>
  </si>
  <si>
    <t>十五消耗</t>
  </si>
  <si>
    <t>绝代名策-你在进行攻击检定时，如果对方选择反击，你可以使进行的本次攻击检定获得3枚加骰。</t>
  </si>
  <si>
    <t>魂灵切换-在任意时刻，你修改你的一个【灵能力标签】并与DH讨论其是否可行，持续到你离开当前场景。</t>
  </si>
  <si>
    <t>叙事闪回-你在征得DH的同意后，立即向之前曾经历过的事件闪回，寻找这个事件中未曾找到过的细节，或者未曾被注意过的行动。你需要与DH讨论你的闪回事件的具体内容，同时必须让你闪回事件不影响整体的故事走向，或是破坏其他玩家的游戏体验。</t>
  </si>
  <si>
    <t>轮到我了-当一个头目级或首领级生物进入其额外回合时，你可以将其转变为你的额外回合。使用该时髦动作后，你在下个轮次中无法做出任何行动。</t>
  </si>
  <si>
    <t>生死看淡-当你的生命值变为0时，你可以投掷一次D100，如果投掷的数值小于等于你的时髦值两倍，你的生命值变为1点。</t>
  </si>
  <si>
    <t>顽强意志-当你的行动检定失败时，你可以将其改为成功，并视为具有1个【成功等级】。</t>
  </si>
  <si>
    <t>二十消耗</t>
  </si>
  <si>
    <t>生死看淡-当你的生命值变为0时，你可以投掷一次D100，如果投掷的数值小于等于你的时髦值（消耗时髦值前）的两倍，你的生命值变为1点。</t>
  </si>
  <si>
    <t>不服就干-当你的行动检定成功时，你可以消耗X点生命值为该次检定增加x个【成功等级】（X不能大于你的当前生命值）。</t>
  </si>
  <si>
    <t>玉石俱焚-当你的生命值变为0时，使你生命值变为0的生物受到【湮灭伤害X】（X等于你的生命值上限）。</t>
  </si>
  <si>
    <t>叙事闪回-你在征得DH的同意后，你开始立即向着之前曾经历过的事件闪回，寻找这个事件中未曾找到过的细节，或者未曾被注意过的行动。
你需要与DH讨论你的闪回事件的具体内容，同时必须让你闪回事件不影响整体的故事走向，或是破坏其他玩家的游戏体验。</t>
  </si>
  <si>
    <t>不服就干-当你的行动检定成功时，你可以消耗X点生命值为该次检定增加X个【成功等级】（X不能大于你的当前生命值）。</t>
  </si>
  <si>
    <t>英雄不朽-你在轮次开始时选择一个已经退场的狩魂者，该狩魂者可以选择消耗20点时髦值重新回到当前场景中，其生命值变为1点。</t>
  </si>
  <si>
    <t>二十五消耗</t>
  </si>
  <si>
    <t>胜天半子-与你在一个场景内的生物进行的行动检定成功时（包括你自己），你可以改变本次行动检定获得的【成功等级】，你可以在1~5个【成功等级】中选择。</t>
  </si>
  <si>
    <t>生死流转-当你的生命值变为0时，你可以不立即退场，直到你下回合结束后再退场（即使你的生命值不为0）。</t>
  </si>
  <si>
    <t>轮到我了-当一个头目级或首领级生物进入其额外回合时，你可以将其转变为你的额外回合，但如此做后，你在下个轮次中无法做出任何行动。</t>
  </si>
  <si>
    <t xml:space="preserve">如需使用自创风格，请参照上方的格式，将明细填写在下方，并在“角色卡”表的“时髦风格”处选择“其他风格” </t>
  </si>
  <si>
    <t xml:space="preserve">如需使用以下拓展风格（或包含了拓展风格的组合风格），请复制单元格内文本后填写至上方空白风格内，随后在“角色卡”表的“时髦风格”处选择“其他风格”
</t>
  </si>
  <si>
    <t>《边缘人扮演指南》额外时髦动作</t>
  </si>
  <si>
    <t>为所欲为</t>
  </si>
  <si>
    <t>横行无忌-在任意时刻，你对场景内单一目标造成【削弱防御1】。</t>
  </si>
  <si>
    <t>变化莫测-你受到【削弱防御】或【削弱攻击】时，可以将其转变为【强化防御】或【强化攻击】。</t>
  </si>
  <si>
    <t>你行我素-你受到【伤害】后，你对自身造成【强化攻击3】。</t>
  </si>
  <si>
    <t>肆无忌惮-你受到【强化防御】或【强化攻击】时，可以让该【效果】增加4级。</t>
  </si>
  <si>
    <t>诛灭众敌-你在进行攻击检定时可以额外投掷一枚定骰并将出值加入检定中。</t>
  </si>
  <si>
    <t>万物皆虚</t>
  </si>
  <si>
    <t>身手了得-在任意时刻，你对自身造成【强化防御1】。</t>
  </si>
  <si>
    <t>了无踪迹-你进行隐秘检定时，该次检定获得3枚加骰。</t>
  </si>
  <si>
    <t>潜龙在渊-你的回合开始时，你可以进行一次隐秘检定，你获得等同于你成功等级数量等级的【强化攻击】。</t>
  </si>
  <si>
    <t>杀戮真言-当你造成的【伤害】将目标的生命值变为0时，你可以询问目标一个问题，DH会让目标给你一个诚实的答复。</t>
  </si>
  <si>
    <t>一击毙命-当你造成【伤害】时，你可以让该【伤害】增加4级。</t>
  </si>
  <si>
    <t>天地无羁</t>
  </si>
  <si>
    <t>洞悉虚妄-选择场景中的一个目标（人物、物品、现象均可），在接下来与该目标相关的首次【洞察】/【调查】检定中，获得额外1枚加骰。</t>
  </si>
  <si>
    <t>行云流水-你受到【伤害】时，可以对对你造成【伤害】的目标进行一次无需对抗的反击，成功等级为2（依旧受到反击的成功等级减少效果）。</t>
  </si>
  <si>
    <t>独步逍遥-当你在没有其他狩魂者/边缘人作为盟友的场景中进行行动检定且你的行动不包含其他狩魂者/边缘人时，你的本次行动检定额外+3成功等级。</t>
  </si>
  <si>
    <t>不惹尘埃-当你在一次防御检定中未能抵挡住单一敌人的攻击时，你可以对该敌人造成【削弱攻击3】。</t>
  </si>
  <si>
    <t>万法不沾-获得【清除效果3】，并在接下来一个回合内获得【增加灵力3】，若下一个行动检定为驱使灵能力，使其额外获得一个标签加骰。</t>
  </si>
  <si>
    <t>侠界联动《神都焚佛案》额外时髦动作</t>
  </si>
  <si>
    <t>铁胆豪情</t>
  </si>
  <si>
    <t>壮志凌云-你的武技造成【伤害】后，你可以获得【强化攻击2】。</t>
  </si>
  <si>
    <t>英雄本色-你进行说服检定时获得2枚加骰。</t>
  </si>
  <si>
    <t>气吞山河-在你的回合开始时，对自身造成【气势】。
【气势】：【非瞬间效果】【正面】其他生物不能对你施展灵能力和术法。</t>
  </si>
  <si>
    <t>横冲直撞-在你的回合开始时，对自身造成【国士无双】。
【国士无双】：【非瞬间效果】【正面】其他生物对你造成【伤害】时，如果该【伤害】小于等于2，该伤害变为0点。</t>
  </si>
  <si>
    <t>死战不退-当除你之外的狩魂者全部退场后任何时刻可以使用，对自身造成【恢复10】【增加灵力10】【强化攻击5】。</t>
  </si>
  <si>
    <t>风流倜傥</t>
  </si>
  <si>
    <t>占领高地-在任意时刻，对自身造成【增加防御1】。</t>
  </si>
  <si>
    <t>琴棋书画-你进行操作检定时获得2枚加骰。</t>
  </si>
  <si>
    <t>稳操胜券-你进行攻击检定时，你可以将你攻击检定的出值改为比挑战值大1点。</t>
  </si>
  <si>
    <t>唇枪舌剑-当其他生物的攻击检定失败时，该生物受到【灵识伤害3】。</t>
  </si>
  <si>
    <t>醉仙乱舞-你在回合开始时，你获得【醉仙】直到战斗结束。
【醉仙】：【非瞬间效果】【正面】你进行攻击检定时，你可以重骰其中任何枚加骰。</t>
  </si>
  <si>
    <t>通用效果速查表</t>
  </si>
  <si>
    <t>效果名称</t>
  </si>
  <si>
    <t>效果作用</t>
  </si>
  <si>
    <t>损益性</t>
  </si>
  <si>
    <t>持续性</t>
  </si>
  <si>
    <t>恢复</t>
  </si>
  <si>
    <t>增加你X点生命值（X=成功等级）</t>
  </si>
  <si>
    <t>正面</t>
  </si>
  <si>
    <t>瞬间效果</t>
  </si>
  <si>
    <t>伤害</t>
  </si>
  <si>
    <t>减少你X点生命值（X=成功等级）</t>
  </si>
  <si>
    <t>负面</t>
  </si>
  <si>
    <t>增加灵力</t>
  </si>
  <si>
    <t>你增加X点灵力值（X=成功等级）</t>
  </si>
  <si>
    <t>减少灵力</t>
  </si>
  <si>
    <t>你减少X点灵力值（X=成功等级）</t>
  </si>
  <si>
    <t>强化攻击</t>
  </si>
  <si>
    <t>直到你下个回合结束时，你下次进行的攻击检定获得 X 枚加骰（X=成功等级）</t>
  </si>
  <si>
    <t>非瞬间效果</t>
  </si>
  <si>
    <t>削弱攻击</t>
  </si>
  <si>
    <t>直到你下个回合结束时，你下次进行的攻击检定减少 X 枚加骰（X=成功等级）</t>
  </si>
  <si>
    <t>强化防御</t>
  </si>
  <si>
    <t>你的基础防御增加X点（X=成功等级*2）</t>
  </si>
  <si>
    <t>削弱防御</t>
  </si>
  <si>
    <t>你的基础防御减少X点（X=成功等级*2）</t>
  </si>
  <si>
    <t>清除效果</t>
  </si>
  <si>
    <t>施加该效果的生物选择你身上存在的效果，清除其中的X级效果（X=成功等级）</t>
  </si>
  <si>
    <t>时髦</t>
  </si>
  <si>
    <t>你获得X点时髦值（X=成功等级*2）</t>
  </si>
  <si>
    <t>叙事</t>
  </si>
  <si>
    <t>如果【成功等级】≥2，你可以按照所期望的方式推动叙事</t>
  </si>
  <si>
    <t>获得抗性</t>
  </si>
  <si>
    <t>你获得X层伤害抗性（X=成功等级/2（向下取整））</t>
  </si>
  <si>
    <t>赋予易伤</t>
  </si>
  <si>
    <t>你获得X层伤害易伤（X=成功等级/2（向下取整））</t>
  </si>
  <si>
    <t>直到你下个回合结束时，你下次造成【伤害】时，你可以在其他伤害类型中转化，比如你造成【物理伤害】时，你可以将其转化成【灵识伤害】。（需1个成功等级）</t>
  </si>
  <si>
    <t>造物</t>
  </si>
  <si>
    <t>你获得X点道具点（X=成功等级/2（向下取整））</t>
  </si>
  <si>
    <t>常规武技</t>
  </si>
  <si>
    <t>无</t>
  </si>
  <si>
    <t>单一</t>
  </si>
  <si>
    <t>·检定成功时，对目标造成【物理伤害】。</t>
  </si>
  <si>
    <t>使用拳脚或武器进行一次常规的攻击。</t>
  </si>
  <si>
    <t>转掌</t>
  </si>
  <si>
    <t>2点灵力值</t>
  </si>
  <si>
    <t>·选择反击时进行的攻击检定获得2枚加骰，检定成功时，对自身造成【强化攻击】。</t>
  </si>
  <si>
    <t>步伐如圆转流水，侧移防御攻势的同时调整身位，蓄势反击。</t>
  </si>
  <si>
    <t>云手受</t>
  </si>
  <si>
    <t>·选择反击时进行的攻击检定获得4枚加骰，检定成功时，对目标造成【物理伤害】。</t>
  </si>
  <si>
    <t>云手化劲，格挡瞬间借力反击，行云流水无隙可乘。</t>
  </si>
  <si>
    <t>太极云手</t>
  </si>
  <si>
    <t>1点灵力值</t>
  </si>
  <si>
    <t>·选择反击时进行的攻击检定获得1枚加骰，检定成功时，对自身造成【恢复灵力1】。</t>
  </si>
  <si>
    <t>以柔克刚，借力化劲，使敌方攻击方向偏移，卸掉劲力。</t>
  </si>
  <si>
    <t>鬼步</t>
  </si>
  <si>
    <t>·选择反击时进行的攻击检定获得1枚加骰，检定成功时，对目标造成【物理伤害1】。</t>
  </si>
  <si>
    <t>步法如鬼影迷踪，落步似虚若实。</t>
  </si>
  <si>
    <t>霞构</t>
  </si>
  <si>
    <r>
      <rPr>
        <sz val="10"/>
        <color theme="1"/>
        <rFont val="微软雅黑"/>
        <charset val="134"/>
      </rPr>
      <t>·检定成功时，对目标造成【物理伤害】+对自身</t>
    </r>
    <r>
      <rPr>
        <b/>
        <sz val="10"/>
        <color theme="1"/>
        <rFont val="微软雅黑"/>
        <charset val="134"/>
      </rPr>
      <t>【霞构】</t>
    </r>
    <r>
      <rPr>
        <sz val="10"/>
        <color theme="1"/>
        <rFont val="微软雅黑"/>
        <charset val="134"/>
      </rPr>
      <t xml:space="preserve">。
</t>
    </r>
    <r>
      <rPr>
        <b/>
        <sz val="10"/>
        <color theme="1"/>
        <rFont val="微软雅黑"/>
        <charset val="134"/>
      </rPr>
      <t>【霞构】</t>
    </r>
    <r>
      <rPr>
        <sz val="10"/>
        <color theme="1"/>
        <rFont val="微软雅黑"/>
        <charset val="134"/>
      </rPr>
      <t>：【非瞬间效果】【正面】你选择反击进行的攻击检定获得1枚加骰。</t>
    </r>
  </si>
  <si>
    <t>摆出虚实难辨的防御架势，诱敌冒进，伺机反制其破绽。</t>
  </si>
  <si>
    <t>无想剑</t>
  </si>
  <si>
    <r>
      <rPr>
        <sz val="10"/>
        <color theme="1"/>
        <rFont val="微软雅黑"/>
        <charset val="134"/>
      </rPr>
      <t>·检定成功时，对目标造成【物理伤害2】+对自身造成</t>
    </r>
    <r>
      <rPr>
        <b/>
        <sz val="10"/>
        <color theme="1"/>
        <rFont val="微软雅黑"/>
        <charset val="134"/>
      </rPr>
      <t>【无想剑】</t>
    </r>
    <r>
      <rPr>
        <sz val="10"/>
        <color theme="1"/>
        <rFont val="微软雅黑"/>
        <charset val="134"/>
      </rPr>
      <t xml:space="preserve">。
</t>
    </r>
    <r>
      <rPr>
        <b/>
        <sz val="10"/>
        <color theme="1"/>
        <rFont val="微软雅黑"/>
        <charset val="134"/>
      </rPr>
      <t>【无想剑】</t>
    </r>
    <r>
      <rPr>
        <sz val="10"/>
        <color theme="1"/>
        <rFont val="微软雅黑"/>
        <charset val="134"/>
      </rPr>
      <t>：【非瞬间效果】【正面】你下次施展武技进行攻击检定的定骰视掷出19，然后结束本效果。</t>
    </r>
  </si>
  <si>
    <t>摒弃杂念进入无我之境，心神合一锁定敌之破绽，下一击必中要害。</t>
  </si>
  <si>
    <t>铁骑当</t>
  </si>
  <si>
    <r>
      <rPr>
        <sz val="10"/>
        <color theme="1"/>
        <rFont val="微软雅黑"/>
        <charset val="134"/>
      </rPr>
      <t>·检定成功时，对目标造成【物理伤害】+对自身造成</t>
    </r>
    <r>
      <rPr>
        <b/>
        <sz val="10"/>
        <color theme="1"/>
        <rFont val="微软雅黑"/>
        <charset val="134"/>
      </rPr>
      <t>【铁壁】</t>
    </r>
    <r>
      <rPr>
        <sz val="10"/>
        <color theme="1"/>
        <rFont val="微软雅黑"/>
        <charset val="134"/>
      </rPr>
      <t xml:space="preserve">。
</t>
    </r>
    <r>
      <rPr>
        <b/>
        <sz val="10"/>
        <color theme="1"/>
        <rFont val="微软雅黑"/>
        <charset val="134"/>
      </rPr>
      <t>【铁壁】</t>
    </r>
    <r>
      <rPr>
        <sz val="10"/>
        <color theme="1"/>
        <rFont val="微软雅黑"/>
        <charset val="134"/>
      </rPr>
      <t>：【非瞬间效果】【正面】其他生物对你施展武技进行攻击检定成功时获得的成功等级减少2个，你施展武技进行攻击检定的成功等级增加2个。</t>
    </r>
  </si>
  <si>
    <t>沉腰立马如铁骑磐石，降低重心抵御冲撞，稳若山岳。</t>
  </si>
  <si>
    <t>天罡步</t>
  </si>
  <si>
    <t>·进行攻击检定获得1枚加骰，该次攻击的目标无法选择反击，检定成功时，对目标造成【物理伤害】。</t>
  </si>
  <si>
    <t>踏北斗七星位，行动轨迹难以预测。</t>
  </si>
  <si>
    <t>瞬剑斩</t>
  </si>
  <si>
    <t>·检定成功时，对目标造成【物理伤害】+如果目标具有【物理易伤】则额外造成【物理伤害2】。</t>
  </si>
  <si>
    <t>刀不出鞘则静若深渊，出鞘刹那寒光裂空，以极致速度完成一击必杀。</t>
  </si>
  <si>
    <t>血怒</t>
  </si>
  <si>
    <t>·检定成功时，对目标造成【物理伤害】+如果你已损失生命值，额外造成【火焰伤害2】。</t>
  </si>
  <si>
    <t>伤痛激发狂暴血性，伤势越重则战意越凶，以血还血以命搏命。</t>
  </si>
  <si>
    <t>胧月夜</t>
  </si>
  <si>
    <t>·检定成功时，对目标造成【物理伤害2】。
·成功等级≥2时，再对目标造成2次【物理伤害1】。</t>
  </si>
  <si>
    <t>剑影如胧月倾泻，虚实交替的连续斩击封锁敌人进退之路。</t>
  </si>
  <si>
    <t>般若掌</t>
  </si>
  <si>
    <t>·该攻击检定承受5点减值，检定成功时，对目标造成【物理伤害2】+【灵识伤害2】。</t>
  </si>
  <si>
    <t>内力凝于掌心，掌风如浪潮般汹涌外放，三丈内隔空伤敌。</t>
  </si>
  <si>
    <t>逆卷刃</t>
  </si>
  <si>
    <t>·检定成功时，对目标造成【物理伤害】+如果目标本轮已进行过行动，额外造成【冰霜伤害2】。</t>
  </si>
  <si>
    <t>刀势骤转，反手逆劈如逆浪回卷，攻敌不备之死角。</t>
  </si>
  <si>
    <t>雷霆劈</t>
  </si>
  <si>
    <t>3点灵力值</t>
  </si>
  <si>
    <t>·检定成功时，对目标造成【物理伤害】+【雷电伤害】。</t>
  </si>
  <si>
    <t>双手持剑蓄力重劈，如雷霆贯地，刚猛劲力可碎金石。</t>
  </si>
  <si>
    <t>符剑术</t>
  </si>
  <si>
    <t>·检定成功时，对目标造成【物理伤害1】+如果目标是鬼魂，对目标额外造成【灵识伤害3】。</t>
  </si>
  <si>
    <t>以剑为笔凌空画符，剑气裹挟破邪之力，专克阴邪之物。</t>
  </si>
  <si>
    <t>形意·虎扑炮锤</t>
  </si>
  <si>
    <t>·检定成功时，对目标造成【物理伤害】+【物理伤害】。</t>
  </si>
  <si>
    <t>仿猛虎扑食之势，双手成爪虚晃，突然以肘击直取心窝，附带内劲穿透。</t>
  </si>
  <si>
    <t>八步赶蝉</t>
  </si>
  <si>
    <t>·检定成功时，对目标造成【物理伤害1】+你可以额外消耗（X）点灵力点（X最大为5，最小为1）对目标造成【物理伤害X】。</t>
  </si>
  <si>
    <t>瞬间突进，如飞蝉掠空，快速突破重重包围，取敌首级。</t>
  </si>
  <si>
    <t>醉仙望月</t>
  </si>
  <si>
    <t>·检定成功时，对目标造成【物理伤害3】。</t>
  </si>
  <si>
    <t>步伐踉跄如醉汉望月，身形摇晃间暗藏杀机，诱敌轻敌后骤然发难。</t>
  </si>
  <si>
    <t>骗击</t>
  </si>
  <si>
    <t>·如果目标选择反击，进行的攻击检定获得3枚加骰。检定成功时，对目标造成【物理伤害】。</t>
  </si>
  <si>
    <t>虚招佯攻诱敌防御，骤然变招直取破绽，虚实交错间克敌制胜。</t>
  </si>
  <si>
    <t>天地摔</t>
  </si>
  <si>
    <r>
      <rPr>
        <sz val="10"/>
        <color theme="1"/>
        <rFont val="微软雅黑"/>
        <charset val="134"/>
      </rPr>
      <t>·检定成功时，对目标造成【物理伤害2】+对目标造成【失衡】+对自身造成</t>
    </r>
    <r>
      <rPr>
        <b/>
        <sz val="10"/>
        <color theme="1"/>
        <rFont val="微软雅黑"/>
        <charset val="134"/>
      </rPr>
      <t>【失衡】</t>
    </r>
    <r>
      <rPr>
        <sz val="10"/>
        <color theme="1"/>
        <rFont val="微软雅黑"/>
        <charset val="134"/>
      </rPr>
      <t xml:space="preserve">。
</t>
    </r>
    <r>
      <rPr>
        <b/>
        <sz val="10"/>
        <color theme="1"/>
        <rFont val="微软雅黑"/>
        <charset val="134"/>
      </rPr>
      <t>【失衡】</t>
    </r>
    <r>
      <rPr>
        <sz val="10"/>
        <color theme="1"/>
        <rFont val="微软雅黑"/>
        <charset val="134"/>
      </rPr>
      <t>：【非瞬间效果】【负面】你下次受到【物理伤害】时，对你造成【物理伤害1】，然后终止本效果。</t>
    </r>
  </si>
  <si>
    <t>借敌之力破坏其重心，如天地倒悬般将敌摔落，致其筋骨失衡。</t>
  </si>
  <si>
    <t>形意·鹰捉劈挂</t>
  </si>
  <si>
    <t>·目标选择防御时，进行的攻击检定获得3枚加骰。检定成功时，对目标造成【物理伤害】。</t>
  </si>
  <si>
    <t>如鹰隼擒拿，先以爪功缩敌关节，再衔接劈掌砸击，专破防守姿态。</t>
  </si>
  <si>
    <t>影舞乱花</t>
  </si>
  <si>
    <t>1~3个</t>
  </si>
  <si>
    <t>·检定成功时，对目标造成【清除效果】。</t>
  </si>
  <si>
    <t>忍步疾走间双手飞扬，飞镖、铁蒺藜如乱花骤雨，封敌进退之路。</t>
  </si>
  <si>
    <t>九转还丹劲</t>
  </si>
  <si>
    <t>·进行攻击检定获得3枚加骰。检定成功时，对目标造成【物理伤害】+对自身造成【恢复】。</t>
  </si>
  <si>
    <t>受伤后运转周天，缓慢恢复体力。</t>
  </si>
  <si>
    <t>蛇咬</t>
  </si>
  <si>
    <r>
      <rPr>
        <sz val="10"/>
        <color theme="1"/>
        <rFont val="微软雅黑"/>
        <charset val="134"/>
      </rPr>
      <t>·检定成功时，对目标造成【物理伤害】+</t>
    </r>
    <r>
      <rPr>
        <b/>
        <sz val="10"/>
        <color theme="1"/>
        <rFont val="微软雅黑"/>
        <charset val="134"/>
      </rPr>
      <t>【灵蛇毒】</t>
    </r>
    <r>
      <rPr>
        <sz val="10"/>
        <color theme="1"/>
        <rFont val="微软雅黑"/>
        <charset val="134"/>
      </rPr>
      <t xml:space="preserve">。
</t>
    </r>
    <r>
      <rPr>
        <b/>
        <sz val="10"/>
        <color theme="1"/>
        <rFont val="微软雅黑"/>
        <charset val="134"/>
      </rPr>
      <t>【灵蛇毒】</t>
    </r>
    <r>
      <rPr>
        <sz val="10"/>
        <color theme="1"/>
        <rFont val="微软雅黑"/>
        <charset val="134"/>
      </rPr>
      <t>：【非瞬间效果】【负面】你消耗灵力值时，对你造成【灵识伤害1】，然后终止本效果。</t>
    </r>
  </si>
  <si>
    <t>出手时如蛇信吐芯，专取敌人关节、颈侧等要害。</t>
  </si>
  <si>
    <t>残影</t>
  </si>
  <si>
    <t>·检定成功时，对目标造成【物理伤害】+对自身【强化防御1】+创造场景标签【残影】。</t>
  </si>
  <si>
    <t>攻击时留下残影</t>
  </si>
  <si>
    <t>浴血</t>
  </si>
  <si>
    <t>·进行攻击检定获得X枚加骰（X=已损失生命值/2（向下取整）），检定成功时，对目标造成【物理伤害】。</t>
  </si>
  <si>
    <t>以伤换势，血脉逆行仿佛沸腾。</t>
  </si>
  <si>
    <t>瞬身击</t>
  </si>
  <si>
    <t>灵识汇聚足下，瞬间欺进敌身。</t>
  </si>
  <si>
    <t>凿金功</t>
  </si>
  <si>
    <t>·检定成功时，对目标造成【物理伤害】+【赋予物理易伤】+【赋予灵识易伤】。</t>
  </si>
  <si>
    <t>灵识聚于一处洞穿坚甲，让敌手如遭重锤凿击。</t>
  </si>
  <si>
    <t>虎啸</t>
  </si>
  <si>
    <t>·检定成功时，对目标造成【雷电伤害】+【赋予雷电易伤】。</t>
  </si>
  <si>
    <t>以迅猛的力量突破空气，伴随着震耳欲聋的空气爆破声产生巨大的冲击力。</t>
  </si>
  <si>
    <t>轮华</t>
  </si>
  <si>
    <t>·你猜测选择的目标是选择防御还是反击（在目标选择防御或反击后再公布结果），如果目标的选择与你的猜测相同，你进行的攻击检定获得3枚加骰，检定成功时，对目标造成【物理伤害】+【物理伤害1】。</t>
  </si>
  <si>
    <t>提前预判敌人的状态，虚则实之，实则虚之。</t>
  </si>
  <si>
    <t>破军</t>
  </si>
  <si>
    <t>·检定成功时，对目标造成【物理伤害】+【削弱防御1】。
·如果【成功等级】≥2，你可以对另外一个目标造成同样的【效果】（直接使用相同的成功等级）。</t>
  </si>
  <si>
    <t>凝聚着强大的力量，能够一击穿透众多敌人的防御。</t>
  </si>
  <si>
    <t>灵犀指</t>
  </si>
  <si>
    <r>
      <rPr>
        <sz val="10"/>
        <color theme="1"/>
        <rFont val="微软雅黑"/>
        <charset val="134"/>
      </rPr>
      <t>·检定成功时，对目标造成【灵识伤害】+</t>
    </r>
    <r>
      <rPr>
        <b/>
        <sz val="10"/>
        <color theme="1"/>
        <rFont val="微软雅黑"/>
        <charset val="134"/>
      </rPr>
      <t>【恍惚】</t>
    </r>
    <r>
      <rPr>
        <sz val="10"/>
        <color theme="1"/>
        <rFont val="微软雅黑"/>
        <charset val="134"/>
      </rPr>
      <t xml:space="preserve">。
</t>
    </r>
    <r>
      <rPr>
        <b/>
        <sz val="10"/>
        <color theme="1"/>
        <rFont val="微软雅黑"/>
        <charset val="134"/>
      </rPr>
      <t>【恍惚】</t>
    </r>
    <r>
      <rPr>
        <sz val="10"/>
        <color theme="1"/>
        <rFont val="微软雅黑"/>
        <charset val="134"/>
      </rPr>
      <t>：【非瞬间效果】【负面】你进行行动检定时无法激活标签。</t>
    </r>
  </si>
  <si>
    <t>集中全身灵力于一指之上，在瞬间封锁敌人的灵识运转，使其动弹不得。</t>
  </si>
  <si>
    <t>气转</t>
  </si>
  <si>
    <t>·检定成功时，对目标造成【物理伤害】+对自身造成【恢复1】+对自身造成【增加灵力1】。</t>
  </si>
  <si>
    <t>你凝聚起特殊的能量，在你自身和敌人之间流转。当你伤害你的敌人时，同时能够恢复自身。</t>
  </si>
  <si>
    <t>斩破空</t>
  </si>
  <si>
    <t>·该武技进行的攻击检定无法被反击。
·检定成功时，你投掷4枚D4,对目标造成X次【灵识伤害1】（X为你投掷D4骰值为3~4的数量）。</t>
  </si>
  <si>
    <t>你以极快的速度劈斩，以此将一股能量扭结成一道冲击波袭向敌人。</t>
  </si>
  <si>
    <t>迅击</t>
  </si>
  <si>
    <t>·检定成功时，对目标造成【削弱防御】+【削弱防御】。</t>
  </si>
  <si>
    <t>向敌人发动快速连续的攻击。</t>
  </si>
  <si>
    <t>震荡威吓</t>
  </si>
  <si>
    <r>
      <rPr>
        <sz val="10"/>
        <color theme="1"/>
        <rFont val="微软雅黑"/>
        <charset val="134"/>
      </rPr>
      <t>·检定成功时，对目标造成【物理伤害】+对目标造成</t>
    </r>
    <r>
      <rPr>
        <b/>
        <sz val="10"/>
        <color theme="1"/>
        <rFont val="微软雅黑"/>
        <charset val="134"/>
      </rPr>
      <t>【受惊】</t>
    </r>
    <r>
      <rPr>
        <sz val="10"/>
        <color theme="1"/>
        <rFont val="微软雅黑"/>
        <charset val="134"/>
      </rPr>
      <t xml:space="preserve">+对自身【清除效果1】。
</t>
    </r>
    <r>
      <rPr>
        <b/>
        <sz val="10"/>
        <color theme="1"/>
        <rFont val="微软雅黑"/>
        <charset val="134"/>
      </rPr>
      <t>【受惊】</t>
    </r>
    <r>
      <rPr>
        <sz val="10"/>
        <color theme="1"/>
        <rFont val="微软雅黑"/>
        <charset val="134"/>
      </rPr>
      <t>：【非瞬间效果】【负面】你选择防御时无法激活标签增加基础防御。</t>
    </r>
  </si>
  <si>
    <t>你用力猛击地面，造成小范围地震效果。</t>
  </si>
  <si>
    <t>影袭</t>
  </si>
  <si>
    <t>·检定成功时，对目标造成【物理伤害】+对自身【强化攻击】。</t>
  </si>
  <si>
    <t>你像敌人的影子一般无法甩脱，绕至敌人身后并对其进行袭击。</t>
  </si>
  <si>
    <t>形意·龙形崩山靠</t>
  </si>
  <si>
    <t>·检定成功时，对目标造成【物理伤害】+对目标造成【清除效果】。</t>
  </si>
  <si>
    <t>身如游龙突进，近身时以肩、肘、胯合力冲撞，如巨浪拍岸，可击退敌人并破坏架势。</t>
  </si>
  <si>
    <t>雷霆贯</t>
  </si>
  <si>
    <t>4点灵力值</t>
  </si>
  <si>
    <t>·检定成功时，对目标造成【物理伤害】+【灵识伤害1】+【削弱攻击2】。</t>
  </si>
  <si>
    <t>半步冲刺，拳如电发，击中时劲力透体，可造成内脏震荡。</t>
  </si>
  <si>
    <t>五行连环炮</t>
  </si>
  <si>
    <t>·检定成功时，若【成功等级】≥2，对目标造成【物理伤害1】+【灵识伤害1】+【火焰伤害1】+【冰霜伤害1】+【雷电伤害1】。</t>
  </si>
  <si>
    <t>劈、崩、钻、炮、横五拳连环，配合八极短打，形成密不透风的近身压制。</t>
  </si>
  <si>
    <t>六字真言咒</t>
  </si>
  <si>
    <r>
      <rPr>
        <sz val="10"/>
        <color theme="1"/>
        <rFont val="微软雅黑"/>
        <charset val="134"/>
      </rPr>
      <t>·检定成功时，若【成功等级】＞2，对目标造成</t>
    </r>
    <r>
      <rPr>
        <b/>
        <sz val="10"/>
        <color theme="1"/>
        <rFont val="微软雅黑"/>
        <charset val="134"/>
      </rPr>
      <t>【震慑】</t>
    </r>
    <r>
      <rPr>
        <sz val="10"/>
        <color theme="1"/>
        <rFont val="微软雅黑"/>
        <charset val="134"/>
      </rPr>
      <t xml:space="preserve">。
</t>
    </r>
    <r>
      <rPr>
        <b/>
        <sz val="10"/>
        <color theme="1"/>
        <rFont val="微软雅黑"/>
        <charset val="134"/>
      </rPr>
      <t>【震慑】</t>
    </r>
    <r>
      <rPr>
        <sz val="10"/>
        <color theme="1"/>
        <rFont val="微软雅黑"/>
        <charset val="134"/>
      </rPr>
      <t>：【非瞬间效果】【负面】目标下次进行的行动检定投掷的定骰视为 2 点，然后终止本效果。</t>
    </r>
  </si>
  <si>
    <t>喝出「唵嘛呢叭咪吽」六字真言，音波震荡扰乱心神。</t>
  </si>
  <si>
    <t>形意·马形冲阵步</t>
  </si>
  <si>
    <r>
      <rPr>
        <sz val="10"/>
        <color theme="1"/>
        <rFont val="微软雅黑"/>
        <charset val="134"/>
      </rPr>
      <t>·检定成功时，若【成功等级】≥2，对目标造成</t>
    </r>
    <r>
      <rPr>
        <b/>
        <sz val="10"/>
        <color theme="1"/>
        <rFont val="微软雅黑"/>
        <charset val="134"/>
      </rPr>
      <t>【破阵】</t>
    </r>
    <r>
      <rPr>
        <sz val="10"/>
        <color theme="1"/>
        <rFont val="微软雅黑"/>
        <charset val="134"/>
      </rPr>
      <t xml:space="preserve">。
</t>
    </r>
    <r>
      <rPr>
        <b/>
        <sz val="10"/>
        <color theme="1"/>
        <rFont val="微软雅黑"/>
        <charset val="134"/>
      </rPr>
      <t>【破阵】</t>
    </r>
    <r>
      <rPr>
        <sz val="10"/>
        <color theme="1"/>
        <rFont val="微软雅黑"/>
        <charset val="134"/>
      </rPr>
      <t>：【非瞬间效果】【负面】你无法选择反击，以你为目标的攻击检定获得 1 枚加骰。</t>
    </r>
  </si>
  <si>
    <t>直线突进，步法如烈马奔腾，强行突破敌方防线。</t>
  </si>
  <si>
    <t>形意·蛇形缠丝劲</t>
  </si>
  <si>
    <t>·选择反击时进行攻击检定获得 1 枚加骰，检定成功时，对目标造成【赋予物理易伤 2】。</t>
  </si>
  <si>
    <t>近身绞缠敌臂，以柔制刚，化解攻势后瞬间反关节压制。</t>
  </si>
  <si>
    <t>柳絮随风势</t>
  </si>
  <si>
    <r>
      <rPr>
        <sz val="10"/>
        <color theme="1"/>
        <rFont val="微软雅黑"/>
        <charset val="134"/>
      </rPr>
      <t>·检定成功时，对自身</t>
    </r>
    <r>
      <rPr>
        <b/>
        <sz val="10"/>
        <color theme="1"/>
        <rFont val="微软雅黑"/>
        <charset val="134"/>
      </rPr>
      <t>【随风行】</t>
    </r>
    <r>
      <rPr>
        <sz val="10"/>
        <color theme="1"/>
        <rFont val="微软雅黑"/>
        <charset val="134"/>
      </rPr>
      <t xml:space="preserve">。
</t>
    </r>
    <r>
      <rPr>
        <b/>
        <sz val="10"/>
        <color theme="1"/>
        <rFont val="微软雅黑"/>
        <charset val="134"/>
      </rPr>
      <t>【随风行】</t>
    </r>
    <r>
      <rPr>
        <sz val="10"/>
        <color theme="1"/>
        <rFont val="微软雅黑"/>
        <charset val="134"/>
      </rPr>
      <t>：【非瞬间效果】【正面】你的基础防御翻倍。</t>
    </r>
  </si>
  <si>
    <t>身体如同柳絮般，敌人越是凶猛的攻击越是无法触碰到你。</t>
  </si>
  <si>
    <t>冥动</t>
  </si>
  <si>
    <r>
      <rPr>
        <sz val="10"/>
        <color theme="1"/>
        <rFont val="微软雅黑"/>
        <charset val="134"/>
      </rPr>
      <t>·检定成功时，对自身造成</t>
    </r>
    <r>
      <rPr>
        <b/>
        <sz val="10"/>
        <color theme="1"/>
        <rFont val="微软雅黑"/>
        <charset val="134"/>
      </rPr>
      <t>【无实体】</t>
    </r>
    <r>
      <rPr>
        <sz val="10"/>
        <color theme="1"/>
        <rFont val="微软雅黑"/>
        <charset val="134"/>
      </rPr>
      <t xml:space="preserve">。
</t>
    </r>
    <r>
      <rPr>
        <b/>
        <sz val="10"/>
        <color theme="1"/>
        <rFont val="微软雅黑"/>
        <charset val="134"/>
      </rPr>
      <t>【无实体】</t>
    </r>
    <r>
      <rPr>
        <sz val="10"/>
        <color theme="1"/>
        <rFont val="微软雅黑"/>
        <charset val="134"/>
      </rPr>
      <t>：【非瞬间效果】【正面】你受到【效果】时，如果该效果的【效果等级】＜2，该效果无法对你生效。</t>
    </r>
  </si>
  <si>
    <t>你以超高速的移动使自己的身形变得虚幻不定，无法被捕捉。</t>
  </si>
  <si>
    <t>形意·熊形震地跺</t>
  </si>
  <si>
    <t>·检定成功时，对目标造成【物理伤害 2】+【削弱防御2】。</t>
  </si>
  <si>
    <t>沉身跺脚，震地撼敌下盘，使周围敌人短暂失衡，同时蓄力准备后续连招。</t>
  </si>
  <si>
    <t>罗汉伏虎</t>
  </si>
  <si>
    <r>
      <rPr>
        <sz val="10"/>
        <color theme="1"/>
        <rFont val="微软雅黑"/>
        <charset val="134"/>
      </rPr>
      <t>·检定成功时，造成</t>
    </r>
    <r>
      <rPr>
        <b/>
        <sz val="10"/>
        <color theme="1"/>
        <rFont val="微软雅黑"/>
        <charset val="134"/>
      </rPr>
      <t>【压制】</t>
    </r>
    <r>
      <rPr>
        <sz val="10"/>
        <color theme="1"/>
        <rFont val="微软雅黑"/>
        <charset val="134"/>
      </rPr>
      <t xml:space="preserve">持续到你下次施展武技。
</t>
    </r>
    <r>
      <rPr>
        <b/>
        <sz val="10"/>
        <color theme="1"/>
        <rFont val="微软雅黑"/>
        <charset val="134"/>
      </rPr>
      <t>【压制】</t>
    </r>
    <r>
      <rPr>
        <sz val="10"/>
        <color theme="1"/>
        <rFont val="微软雅黑"/>
        <charset val="134"/>
      </rPr>
      <t>：【非瞬间效果】【负面】你无法施展武技。</t>
    </r>
  </si>
  <si>
    <t>近身锁扣关节，如罗汉降伏猛虎，令对手筋骨受制难以挣脱。</t>
  </si>
  <si>
    <t>形意·鹞子钻天炮</t>
  </si>
  <si>
    <r>
      <rPr>
        <sz val="10"/>
        <color theme="1"/>
        <rFont val="微软雅黑"/>
        <charset val="134"/>
      </rPr>
      <t>·检定成功时，若【成功等级】≥3，对目标造成</t>
    </r>
    <r>
      <rPr>
        <b/>
        <sz val="10"/>
        <color theme="1"/>
        <rFont val="微软雅黑"/>
        <charset val="134"/>
      </rPr>
      <t>【封锁】</t>
    </r>
    <r>
      <rPr>
        <sz val="10"/>
        <color theme="1"/>
        <rFont val="微软雅黑"/>
        <charset val="134"/>
      </rPr>
      <t xml:space="preserve">。
</t>
    </r>
    <r>
      <rPr>
        <b/>
        <sz val="10"/>
        <color theme="1"/>
        <rFont val="微软雅黑"/>
        <charset val="134"/>
      </rPr>
      <t>【封锁】</t>
    </r>
    <r>
      <rPr>
        <sz val="10"/>
        <color theme="1"/>
        <rFont val="微软雅黑"/>
        <charset val="134"/>
      </rPr>
      <t>：【非瞬间效果】【负面】你无法施展术法。</t>
    </r>
  </si>
  <si>
    <t>低身防御后突然上冲，掌击下颌，如鹞子钻云，可致眩晕。</t>
  </si>
  <si>
    <t>点苍指</t>
  </si>
  <si>
    <r>
      <rPr>
        <sz val="10"/>
        <color theme="1"/>
        <rFont val="微软雅黑"/>
        <charset val="134"/>
      </rPr>
      <t>·检定成功时，若【成功等级】≥2，对目标造成</t>
    </r>
    <r>
      <rPr>
        <b/>
        <sz val="10"/>
        <color theme="1"/>
        <rFont val="微软雅黑"/>
        <charset val="134"/>
      </rPr>
      <t>【断虚】</t>
    </r>
    <r>
      <rPr>
        <sz val="10"/>
        <color theme="1"/>
        <rFont val="微软雅黑"/>
        <charset val="134"/>
      </rPr>
      <t xml:space="preserve">。
</t>
    </r>
    <r>
      <rPr>
        <b/>
        <sz val="10"/>
        <color theme="1"/>
        <rFont val="微软雅黑"/>
        <charset val="134"/>
      </rPr>
      <t>【断虚】</t>
    </r>
    <r>
      <rPr>
        <sz val="10"/>
        <color theme="1"/>
        <rFont val="微软雅黑"/>
        <charset val="134"/>
      </rPr>
      <t>：【非瞬间效果】【负面】你无法施展灵能力，也无法通过灵能力强化武技。</t>
    </r>
  </si>
  <si>
    <t>快准狠的指法，命中可短暂封锁对手动作。</t>
  </si>
  <si>
    <t>金刚怒目</t>
  </si>
  <si>
    <t>6点灵力值</t>
  </si>
  <si>
    <t>·检定成功时，对目标造成【物理伤害】+【物理伤害】+【物理伤害】。</t>
  </si>
  <si>
    <t>拳出如金刚震怒，刚猛劲力直透心神，令敌胆寒。</t>
  </si>
  <si>
    <t>残心·无念</t>
  </si>
  <si>
    <r>
      <rPr>
        <sz val="10"/>
        <color theme="1"/>
        <rFont val="微软雅黑"/>
        <charset val="134"/>
      </rPr>
      <t>·检定成功时，对目标造成【物理伤害 1】+对自身</t>
    </r>
    <r>
      <rPr>
        <b/>
        <sz val="10"/>
        <color theme="1"/>
        <rFont val="微软雅黑"/>
        <charset val="134"/>
      </rPr>
      <t>【剑圣姿态】</t>
    </r>
    <r>
      <rPr>
        <sz val="10"/>
        <color theme="1"/>
        <rFont val="微软雅黑"/>
        <charset val="134"/>
      </rPr>
      <t xml:space="preserve">持续到你使用不带有【剑】的武技（原本描述或名称中附带【剑】）或者你离开当前场景。
</t>
    </r>
    <r>
      <rPr>
        <b/>
        <sz val="10"/>
        <color theme="1"/>
        <rFont val="微软雅黑"/>
        <charset val="134"/>
      </rPr>
      <t>【剑圣姿态】</t>
    </r>
    <r>
      <rPr>
        <sz val="10"/>
        <color theme="1"/>
        <rFont val="微软雅黑"/>
        <charset val="134"/>
      </rPr>
      <t>：【非瞬间效果】【正面】你施展原本名字带有【剑】的武技进行的攻击检定获得 2 枚加骰。</t>
    </r>
  </si>
  <si>
    <t>心剑合一，摒弃杂念，在极致专注中洞察敌之破绽，以静制动一击反杀。</t>
  </si>
  <si>
    <t>炁贯百会</t>
  </si>
  <si>
    <t>·检定成功时，对目标造成【物理伤害】+若【成功等级】≥2，对自身造成【强化攻击 3】+对自身造成【削弱防御 2】。</t>
  </si>
  <si>
    <t>道家发明的呼吸法，调息聚气，短时间内提升爆发力。</t>
  </si>
  <si>
    <t>拈花指</t>
  </si>
  <si>
    <r>
      <rPr>
        <sz val="10"/>
        <color theme="1"/>
        <rFont val="微软雅黑"/>
        <charset val="134"/>
      </rPr>
      <t>·检定成功时，对目标造成【赋予物理易伤】+</t>
    </r>
    <r>
      <rPr>
        <b/>
        <sz val="10"/>
        <color theme="1"/>
        <rFont val="微软雅黑"/>
        <charset val="134"/>
      </rPr>
      <t>【失衡】</t>
    </r>
    <r>
      <rPr>
        <sz val="10"/>
        <color theme="1"/>
        <rFont val="微软雅黑"/>
        <charset val="134"/>
      </rPr>
      <t xml:space="preserve">。
</t>
    </r>
    <r>
      <rPr>
        <b/>
        <sz val="10"/>
        <color theme="1"/>
        <rFont val="微软雅黑"/>
        <charset val="134"/>
      </rPr>
      <t>【失衡】</t>
    </r>
    <r>
      <rPr>
        <sz val="10"/>
        <color theme="1"/>
        <rFont val="微软雅黑"/>
        <charset val="134"/>
      </rPr>
      <t>：【非瞬间效果】【负面】你下次受到【物理伤害】时，对你造成【物理伤害 1】，然后终止本效果。</t>
    </r>
  </si>
  <si>
    <t>指尖蕴柔劲，触敌刹那借力化劲，以巧破蛮力，反制攻势。</t>
  </si>
  <si>
    <t>金钟罩</t>
  </si>
  <si>
    <t>·检定成功时，对目标造成【物理伤害 1】+对自身造成【获得物理抗性 3】。</t>
  </si>
  <si>
    <t>硬接攻击，靠着横练体魄强行打断对方攻势。</t>
  </si>
  <si>
    <t>形意·鼍形翻浪劲</t>
  </si>
  <si>
    <t>·检定成功时，对目标造成【物理伤害 3】+对自身造成【获得物理抗性 2】+【获得灵识抗性 2】+【获得火焰抗性 2】+【获得雷电抗性 2】+【获得冰霜抗性 2】。</t>
  </si>
  <si>
    <t>双臂如鼍翻浪，格挡同时反手抽打，攻防一体。</t>
  </si>
  <si>
    <t>超感</t>
  </si>
  <si>
    <t>自身</t>
  </si>
  <si>
    <t>基础</t>
  </si>
  <si>
    <t>效果术法</t>
  </si>
  <si>
    <t>·对自身造成【超感】直到当前场景结束。
【超感】：【非瞬间效果】【正面】你进行的调查检定获得 2 枚加骰。</t>
  </si>
  <si>
    <t>灵识聚拢在双目，瞳孔流转淡蓝的微光，看到不被注意的细节。</t>
  </si>
  <si>
    <t>凝爆</t>
  </si>
  <si>
    <t>攻击术法【体魄】</t>
  </si>
  <si>
    <t>·检定成功时，对目标造成【灵识伤害 2】。</t>
  </si>
  <si>
    <t>凝聚浑身灵识后引爆周身。</t>
  </si>
  <si>
    <t>灵迹</t>
  </si>
  <si>
    <t>·对自身造成【灵迹】持续到事件结束。
【灵迹】：【非瞬间效果】【正面】你可以读取/留下场景中只有觉醒灵识者才能看到的痕迹。</t>
  </si>
  <si>
    <t>灵力留下的痕迹将在你的双目当中闪烁淡蓝荧光。</t>
  </si>
  <si>
    <t>安宅符</t>
  </si>
  <si>
    <t>场景</t>
  </si>
  <si>
    <t>符箓</t>
  </si>
  <si>
    <t>·你可以立即知道场景中是否存在【鬼魂】类型的生物。</t>
  </si>
  <si>
    <t>黄纸朱砂绘制，贴于门楣可阻寻常邪祟入宅。若遇阴物靠近，符角会自行卷曲示警。</t>
  </si>
  <si>
    <t>和合帖</t>
  </si>
  <si>
    <t>·你与自愿的目标订下契约，契约的内容是一个双方都认可的约定，如果一方违反了这个约定，另外一方就会知晓。</t>
  </si>
  <si>
    <t>并蒂莲花汁液书写，夫妻各持半张。若一方变心，符纸会逐渐褪色成灰白。</t>
  </si>
  <si>
    <t>文昌签</t>
  </si>
  <si>
    <r>
      <rPr>
        <sz val="10"/>
        <color theme="1"/>
        <rFont val="微软雅黑"/>
        <charset val="134"/>
      </rPr>
      <t>·你为自愿的目标贴下</t>
    </r>
    <r>
      <rPr>
        <b/>
        <sz val="10"/>
        <color theme="1"/>
        <rFont val="微软雅黑"/>
        <charset val="134"/>
      </rPr>
      <t>【袖签】</t>
    </r>
    <r>
      <rPr>
        <sz val="10"/>
        <color theme="1"/>
        <rFont val="微软雅黑"/>
        <charset val="134"/>
      </rPr>
      <t xml:space="preserve">持续到当前事件结束。
</t>
    </r>
    <r>
      <rPr>
        <b/>
        <sz val="10"/>
        <color theme="1"/>
        <rFont val="微软雅黑"/>
        <charset val="134"/>
      </rPr>
      <t>【袖签】</t>
    </r>
    <r>
      <rPr>
        <sz val="10"/>
        <color theme="1"/>
        <rFont val="微软雅黑"/>
        <charset val="134"/>
      </rPr>
      <t>：【非瞬间效果】你施展武技或者术法时，受到【火焰伤害 3】，然后终止本效果。</t>
    </r>
  </si>
  <si>
    <t>用状元曾用的毛笔蘸墨书写，考试时藏在袖中。作弊时会突然发烫灼伤手腕。</t>
  </si>
  <si>
    <t>避水诀</t>
  </si>
  <si>
    <t>1点灵力值
【维持】</t>
  </si>
  <si>
    <t>·对自愿的目标造成【获得冰霜抗性 1】。</t>
  </si>
  <si>
    <t>鱼鳔胶混合辰砂制成，贴在衣领内侧。入水后会在口鼻处形成气泡，但最多维持半刻
钟。</t>
  </si>
  <si>
    <t>五谷符</t>
  </si>
  <si>
    <t>·你可以立即得知场景中是否有蕴含有毒物质。</t>
  </si>
  <si>
    <t>埋在粮仓四角的黄符，能驱粮虫鼠蚁。丰收时符上会浮现麦穗纹路。</t>
  </si>
  <si>
    <t>寻踪引</t>
  </si>
  <si>
    <r>
      <rPr>
        <sz val="10"/>
        <color theme="1"/>
        <rFont val="微软雅黑"/>
        <charset val="134"/>
      </rPr>
      <t xml:space="preserve">·你指向一件你见过的目标，只要这个目标存在，你就能知道这个物件目标你模糊的方向。
</t>
    </r>
    <r>
      <rPr>
        <b/>
        <sz val="10"/>
        <color theme="1"/>
        <rFont val="微软雅黑"/>
        <charset val="134"/>
      </rPr>
      <t>*该目标一定得是【生物】。</t>
    </r>
  </si>
  <si>
    <t>取失踪者头发烧灰入符。点燃后青烟所指即为其所在方向，但遇风雨易散。</t>
  </si>
  <si>
    <t>镇啼咒</t>
  </si>
  <si>
    <t>·你可以立即知道场景中是否存在【鬼魂】类型的生物，并且得知那些生物的位置。</t>
  </si>
  <si>
    <t>乌鸦尾羽蘸雄黄酒书写，贴于婴儿床头。若仍夜啼不止，说明屋内有游魂作祟。</t>
  </si>
  <si>
    <t>化煞帖</t>
  </si>
  <si>
    <t>·你可以阻止【鬼魂】类型的生物进入该场景，直到事件结束。如【鬼魂】类型的生物试图强行闯入，会受到【灵识伤害 2】。</t>
  </si>
  <si>
    <t>贴在房梁或尖角处，能化解冲煞。煞气越重，符纸腐烂的速度就越快。</t>
  </si>
  <si>
    <t>行车护</t>
  </si>
  <si>
    <r>
      <rPr>
        <sz val="10"/>
        <color theme="1"/>
        <rFont val="微软雅黑"/>
        <charset val="134"/>
      </rPr>
      <t>·你为自愿的目标设下保护，目标获得</t>
    </r>
    <r>
      <rPr>
        <b/>
        <sz val="10"/>
        <color theme="1"/>
        <rFont val="微软雅黑"/>
        <charset val="134"/>
      </rPr>
      <t>【护体】</t>
    </r>
    <r>
      <rPr>
        <sz val="10"/>
        <color theme="1"/>
        <rFont val="微软雅黑"/>
        <charset val="134"/>
      </rPr>
      <t xml:space="preserve">持续到你离开当前场景。
</t>
    </r>
    <r>
      <rPr>
        <b/>
        <sz val="10"/>
        <color theme="1"/>
        <rFont val="微软雅黑"/>
        <charset val="134"/>
      </rPr>
      <t>【护体】</t>
    </r>
    <r>
      <rPr>
        <sz val="10"/>
        <color theme="1"/>
        <rFont val="微软雅黑"/>
        <charset val="134"/>
      </rPr>
      <t>：【非瞬间效果】【正面】你受到【伤害】时，该【伤害】减少 1 级，在【护体】成功为你累积减少 3 级效果等级后，终止本效果。</t>
    </r>
  </si>
  <si>
    <t>马王爷画像拓印，贴在车辕上。遇险前会听见马嘶预警，仅限三次。</t>
  </si>
  <si>
    <t>祛瘟散</t>
  </si>
  <si>
    <t>攻击术法【心魂】</t>
  </si>
  <si>
    <t>·检定成功时，如果目标是【鬼魂】生物，对目标造成【灵识伤害 5】。</t>
  </si>
  <si>
    <t>艾草灰混合朱砂，焚烧后的烟可净化疫气。但每用一次要更换门前的菖蒲。</t>
  </si>
  <si>
    <t>梦通符</t>
  </si>
  <si>
    <t>·恍惚的梦境中，你窥见命运的一隅，你预测后事的吉凶，梦会回答。若梦不作答，则吉凶皆有。</t>
  </si>
  <si>
    <t>狐仙庙供过的黄纸，枕于床榻。能梦示吉凶，但可能招来狐仙窥探隐私。</t>
  </si>
  <si>
    <t>捆塞符</t>
  </si>
  <si>
    <t>2点灵力值
【维持】</t>
  </si>
  <si>
    <r>
      <rPr>
        <sz val="10"/>
        <color theme="1"/>
        <rFont val="微软雅黑"/>
        <charset val="134"/>
      </rPr>
      <t>·检定成功时，对目标造成</t>
    </r>
    <r>
      <rPr>
        <b/>
        <sz val="10"/>
        <color theme="1"/>
        <rFont val="微软雅黑"/>
        <charset val="134"/>
      </rPr>
      <t>【捆缚】</t>
    </r>
    <r>
      <rPr>
        <sz val="10"/>
        <color theme="1"/>
        <rFont val="微软雅黑"/>
        <charset val="134"/>
      </rPr>
      <t xml:space="preserve">。
</t>
    </r>
    <r>
      <rPr>
        <b/>
        <sz val="10"/>
        <color theme="1"/>
        <rFont val="微软雅黑"/>
        <charset val="134"/>
      </rPr>
      <t>【捆缚】</t>
    </r>
    <r>
      <rPr>
        <sz val="10"/>
        <color theme="1"/>
        <rFont val="微软雅黑"/>
        <charset val="134"/>
      </rPr>
      <t>：【非瞬间效果】【负面】你选择防御时无法激活标签。</t>
    </r>
  </si>
  <si>
    <t>用金粉所书写的黄符，能够化为一道金光捆绑目标。</t>
  </si>
  <si>
    <t>见心符</t>
  </si>
  <si>
    <t>单一，目标必须是【鬼魂】生物</t>
  </si>
  <si>
    <t>攻击术法【智慧】</t>
  </si>
  <si>
    <t>·检定成功时，你能听到目标的表面思想。</t>
  </si>
  <si>
    <t>取一滴泪珠混合朱砂，贴在他人额头能够窥探其心中所想。</t>
  </si>
  <si>
    <t>断空符</t>
  </si>
  <si>
    <t>·创建场景标签【空气墙】持续到你离开当前场景。</t>
  </si>
  <si>
    <t>凝聚灵力于符箓当中，挥至空中，能够构筑无形气墙，封锁区域阻碍通行。</t>
  </si>
  <si>
    <t>招雾符</t>
  </si>
  <si>
    <t>·创建场景标签【浓雾】持续到你离开当前场景。</t>
  </si>
  <si>
    <t>点燃符箓燃起青烟，召来厚重浓雾弥漫战场，遮蔽视线干扰行动。</t>
  </si>
  <si>
    <t>御魔符</t>
  </si>
  <si>
    <t>特殊</t>
  </si>
  <si>
    <t>·用一张符箓贴在1件你指定的小型物件上，该物件当即被活化；被活化的物件又或是你指示的小型生物会在一定时间内成为你的使魔。
·你可以吩咐使魔一道简单的指令，比如监视某人、跟踪某人、把守某地等等。每有1点消耗，使魔就持续活动1小时。
·如果使用道具点施展此符咒，那使魔可以持续活动 3 小时而非 1 小时。
·直到持续时间结束前，使魔将尽可能按照你的指令行动。
·如果使魔终止活动或在持续时间前被消灭，你可以得知这段时间内使魔知道的所有信息。</t>
  </si>
  <si>
    <t>将符箓融至水中，用符水点化小物或小兽，令其听令执行简单任务，并能获悉其见闻。</t>
  </si>
  <si>
    <t>追雀符</t>
  </si>
  <si>
    <t>·你将一道隐形的能量符咒赋予一个无灵识的目标。你可以感知和追踪到符咒的位置，持续到事件结束。</t>
  </si>
  <si>
    <t>运用灵力凌空构建符箓，可悄无声息于目标身上施放追踪印记，无论天涯海角，皆可感知其方位。</t>
  </si>
  <si>
    <t>缠火符</t>
  </si>
  <si>
    <r>
      <rPr>
        <sz val="10"/>
        <color theme="1"/>
        <rFont val="微软雅黑"/>
        <charset val="134"/>
      </rPr>
      <t>·对自愿的目标造成</t>
    </r>
    <r>
      <rPr>
        <b/>
        <sz val="10"/>
        <color theme="1"/>
        <rFont val="微软雅黑"/>
        <charset val="134"/>
      </rPr>
      <t>【火象】</t>
    </r>
    <r>
      <rPr>
        <sz val="10"/>
        <color theme="1"/>
        <rFont val="微软雅黑"/>
        <charset val="134"/>
      </rPr>
      <t xml:space="preserve">。
</t>
    </r>
    <r>
      <rPr>
        <b/>
        <sz val="10"/>
        <color theme="1"/>
        <rFont val="微软雅黑"/>
        <charset val="134"/>
      </rPr>
      <t>【火象】</t>
    </r>
    <r>
      <rPr>
        <sz val="10"/>
        <color theme="1"/>
        <rFont val="微软雅黑"/>
        <charset val="134"/>
      </rPr>
      <t>：【非瞬间效果】【正面】你施展武技造成【伤害】时，可以全部转化成【火焰伤害】。</t>
    </r>
  </si>
  <si>
    <t>赋予自愿者火之气息，令其武技尽数化为烈焰之击。</t>
  </si>
  <si>
    <t>冰牙符</t>
  </si>
  <si>
    <r>
      <rPr>
        <sz val="10"/>
        <color theme="1"/>
        <rFont val="微软雅黑"/>
        <charset val="134"/>
      </rPr>
      <t>·对自愿的目标造成</t>
    </r>
    <r>
      <rPr>
        <b/>
        <sz val="10"/>
        <color theme="1"/>
        <rFont val="微软雅黑"/>
        <charset val="134"/>
      </rPr>
      <t>【冰象】</t>
    </r>
    <r>
      <rPr>
        <sz val="10"/>
        <color theme="1"/>
        <rFont val="微软雅黑"/>
        <charset val="134"/>
      </rPr>
      <t xml:space="preserve">。
</t>
    </r>
    <r>
      <rPr>
        <b/>
        <sz val="10"/>
        <color theme="1"/>
        <rFont val="微软雅黑"/>
        <charset val="134"/>
      </rPr>
      <t>【冰象】</t>
    </r>
    <r>
      <rPr>
        <sz val="10"/>
        <color theme="1"/>
        <rFont val="微软雅黑"/>
        <charset val="134"/>
      </rPr>
      <t>：【非瞬间效果】【正面】你施展武技造成【伤害】时，可以全部转化成【冰霜伤害】。</t>
    </r>
  </si>
  <si>
    <t>赋予自愿者冰之气息，令其武技尽数化为寒冰之击。</t>
  </si>
  <si>
    <t>滚雷符</t>
  </si>
  <si>
    <r>
      <rPr>
        <sz val="10"/>
        <color theme="1"/>
        <rFont val="微软雅黑"/>
        <charset val="134"/>
      </rPr>
      <t>·对自愿的目标造成</t>
    </r>
    <r>
      <rPr>
        <b/>
        <sz val="10"/>
        <color theme="1"/>
        <rFont val="微软雅黑"/>
        <charset val="134"/>
      </rPr>
      <t>【雷象】</t>
    </r>
    <r>
      <rPr>
        <sz val="10"/>
        <color theme="1"/>
        <rFont val="微软雅黑"/>
        <charset val="134"/>
      </rPr>
      <t xml:space="preserve">。
</t>
    </r>
    <r>
      <rPr>
        <b/>
        <sz val="10"/>
        <color theme="1"/>
        <rFont val="微软雅黑"/>
        <charset val="134"/>
      </rPr>
      <t>【雷象】</t>
    </r>
    <r>
      <rPr>
        <sz val="10"/>
        <color theme="1"/>
        <rFont val="微软雅黑"/>
        <charset val="134"/>
      </rPr>
      <t>：【非瞬间效果】【正面】你施展武技造成【伤害】时，可以全部转化成【雷电伤害】。</t>
    </r>
  </si>
  <si>
    <t>赋予自愿者雷之气息，令其武技尽数化为雷电之击。</t>
  </si>
  <si>
    <t>灵破符</t>
  </si>
  <si>
    <r>
      <rPr>
        <sz val="10"/>
        <color theme="1"/>
        <rFont val="微软雅黑"/>
        <charset val="134"/>
      </rPr>
      <t>·对自愿的目标造成</t>
    </r>
    <r>
      <rPr>
        <b/>
        <sz val="10"/>
        <color theme="1"/>
        <rFont val="微软雅黑"/>
        <charset val="134"/>
      </rPr>
      <t>【灵象】</t>
    </r>
    <r>
      <rPr>
        <sz val="10"/>
        <color theme="1"/>
        <rFont val="微软雅黑"/>
        <charset val="134"/>
      </rPr>
      <t xml:space="preserve">。
</t>
    </r>
    <r>
      <rPr>
        <b/>
        <sz val="10"/>
        <color theme="1"/>
        <rFont val="微软雅黑"/>
        <charset val="134"/>
      </rPr>
      <t>【灵象】</t>
    </r>
    <r>
      <rPr>
        <sz val="10"/>
        <color theme="1"/>
        <rFont val="微软雅黑"/>
        <charset val="134"/>
      </rPr>
      <t>：【非瞬间效果】【正面】你施展武技造成【伤害】时，可以全部转化成【灵识伤害】。</t>
    </r>
  </si>
  <si>
    <t>赋予自愿者灵识之力，令其武技尽数化为冲击精神的灵识之伤。</t>
  </si>
  <si>
    <t>隐身符</t>
  </si>
  <si>
    <r>
      <rPr>
        <sz val="10"/>
        <color theme="1"/>
        <rFont val="微软雅黑"/>
        <charset val="134"/>
      </rPr>
      <t>·对自愿的目标造成</t>
    </r>
    <r>
      <rPr>
        <b/>
        <sz val="10"/>
        <color theme="1"/>
        <rFont val="微软雅黑"/>
        <charset val="134"/>
      </rPr>
      <t>【神隐】</t>
    </r>
    <r>
      <rPr>
        <sz val="10"/>
        <color theme="1"/>
        <rFont val="微软雅黑"/>
        <charset val="134"/>
      </rPr>
      <t xml:space="preserve">。
</t>
    </r>
    <r>
      <rPr>
        <b/>
        <sz val="10"/>
        <color theme="1"/>
        <rFont val="微软雅黑"/>
        <charset val="134"/>
      </rPr>
      <t>【神隐】</t>
    </r>
    <r>
      <rPr>
        <sz val="10"/>
        <color theme="1"/>
        <rFont val="微软雅黑"/>
        <charset val="134"/>
      </rPr>
      <t>：【非瞬间效果】【正面】你进行的隐秘检定成功时，获得的【成功等级】增加 1 个。你选择防御时，可以额外投掷一枚 D4 骰将结果加入基础防御中。</t>
    </r>
  </si>
  <si>
    <t>助自愿者遁入神隐之境，大幅强化潜行能力，其力量也能够护佑神隐者。</t>
  </si>
  <si>
    <t>铜镜符</t>
  </si>
  <si>
    <r>
      <rPr>
        <sz val="10"/>
        <color theme="1"/>
        <rFont val="微软雅黑"/>
        <charset val="134"/>
      </rPr>
      <t>·对自愿的目标造成</t>
    </r>
    <r>
      <rPr>
        <b/>
        <sz val="10"/>
        <color theme="1"/>
        <rFont val="微软雅黑"/>
        <charset val="134"/>
      </rPr>
      <t>【神盾镜】</t>
    </r>
    <r>
      <rPr>
        <sz val="10"/>
        <color theme="1"/>
        <rFont val="微软雅黑"/>
        <charset val="134"/>
      </rPr>
      <t xml:space="preserve">。
</t>
    </r>
    <r>
      <rPr>
        <b/>
        <sz val="10"/>
        <color theme="1"/>
        <rFont val="微软雅黑"/>
        <charset val="134"/>
      </rPr>
      <t>【神盾镜】</t>
    </r>
    <r>
      <rPr>
        <sz val="10"/>
        <color theme="1"/>
        <rFont val="微软雅黑"/>
        <charset val="134"/>
      </rPr>
      <t>：【非瞬间效果】【正面】当你因为其他生物对你造成的【效果】而减少生命值时，你可以让其不生效，并使对你造成【效果】的目标减少相同的生命值，然后终止本效果。</t>
    </r>
  </si>
  <si>
    <t>为自愿者施加神盾之镜，可将一次来袭伤害反射至施害者身上，随即消散于天地。</t>
  </si>
  <si>
    <t>符钉</t>
  </si>
  <si>
    <t>3点灵力值
【维持】</t>
  </si>
  <si>
    <r>
      <rPr>
        <sz val="10"/>
        <color theme="1"/>
        <rFont val="微软雅黑"/>
        <charset val="134"/>
      </rPr>
      <t>·该术法进行的攻击检定无法被反击。
·检定成功时，对目标造成</t>
    </r>
    <r>
      <rPr>
        <b/>
        <sz val="10"/>
        <color theme="1"/>
        <rFont val="微软雅黑"/>
        <charset val="134"/>
      </rPr>
      <t>【钉身】</t>
    </r>
    <r>
      <rPr>
        <sz val="10"/>
        <color theme="1"/>
        <rFont val="微软雅黑"/>
        <charset val="134"/>
      </rPr>
      <t xml:space="preserve">。
</t>
    </r>
    <r>
      <rPr>
        <b/>
        <sz val="10"/>
        <color theme="1"/>
        <rFont val="微软雅黑"/>
        <charset val="134"/>
      </rPr>
      <t>【钉身】</t>
    </r>
    <r>
      <rPr>
        <sz val="10"/>
        <color theme="1"/>
        <rFont val="微软雅黑"/>
        <charset val="134"/>
      </rPr>
      <t>：【非瞬间效果】【负面】你无法选择反击，当你受到非【钉身】造成的【伤害】时，额外受到【灵识伤害1】。</t>
    </r>
  </si>
  <si>
    <t>以灵力凝聚符钉射向目标，命中后压制其反击能力，并使其持续承受灵识之苦。</t>
  </si>
  <si>
    <t>烟遁符</t>
  </si>
  <si>
    <t>·对自愿的目标移出非战斗场景。</t>
  </si>
  <si>
    <t>瞬间以烟雾包裹自愿目标，助其脱离危险之境。</t>
  </si>
  <si>
    <t>风吹符</t>
  </si>
  <si>
    <r>
      <rPr>
        <sz val="10"/>
        <color theme="1"/>
        <rFont val="微软雅黑"/>
        <charset val="134"/>
      </rPr>
      <t>·对自身造成</t>
    </r>
    <r>
      <rPr>
        <b/>
        <sz val="10"/>
        <color theme="1"/>
        <rFont val="微软雅黑"/>
        <charset val="134"/>
      </rPr>
      <t>【风暴化身】</t>
    </r>
    <r>
      <rPr>
        <sz val="10"/>
        <color theme="1"/>
        <rFont val="微软雅黑"/>
        <charset val="134"/>
      </rPr>
      <t xml:space="preserve">持续到你离开当前场景。
</t>
    </r>
    <r>
      <rPr>
        <b/>
        <sz val="10"/>
        <color theme="1"/>
        <rFont val="微软雅黑"/>
        <charset val="134"/>
      </rPr>
      <t>【风暴化身】</t>
    </r>
    <r>
      <rPr>
        <sz val="10"/>
        <color theme="1"/>
        <rFont val="微软雅黑"/>
        <charset val="134"/>
      </rPr>
      <t>：【非瞬间效果】【正面】你的身边缠绕巨大的旋风。你可以操纵旋风用于飞行。
·你可以执行行动选择单一目标，视为施展一个攻击术法【体魄】进行一次攻击检定，检定成功时，对目标造成【雷电伤害 5】。</t>
    </r>
  </si>
  <si>
    <t>唤来风暴缠身，赋予施术者驾驭旋风飞行的能力，亦可驱使风雷之力轰击敌人。</t>
  </si>
  <si>
    <t>摘星符</t>
  </si>
  <si>
    <t>·该术法进行的攻击检定无法被反击。
·检定成功时，你指定一件你可以单手持握的物品，从视线内/目标的手中飞到你的手中。</t>
  </si>
  <si>
    <t>将符箓化为无形之手，无论强行夺取目标手中之物，或招来视线内小件物品，皆易如反掌。</t>
  </si>
  <si>
    <t>冲咒符</t>
  </si>
  <si>
    <r>
      <rPr>
        <sz val="10"/>
        <color theme="1"/>
        <rFont val="微软雅黑"/>
        <charset val="134"/>
      </rPr>
      <t>·对自愿的目标造成</t>
    </r>
    <r>
      <rPr>
        <b/>
        <sz val="10"/>
        <color theme="1"/>
        <rFont val="微软雅黑"/>
        <charset val="134"/>
      </rPr>
      <t>【不变】</t>
    </r>
    <r>
      <rPr>
        <sz val="10"/>
        <color theme="1"/>
        <rFont val="微软雅黑"/>
        <charset val="134"/>
      </rPr>
      <t xml:space="preserve">持续到你离开当前场景。
</t>
    </r>
    <r>
      <rPr>
        <b/>
        <sz val="10"/>
        <color theme="1"/>
        <rFont val="微软雅黑"/>
        <charset val="134"/>
      </rPr>
      <t>【不变】</t>
    </r>
    <r>
      <rPr>
        <sz val="10"/>
        <color theme="1"/>
        <rFont val="微软雅黑"/>
        <charset val="134"/>
      </rPr>
      <t>：【非瞬间效果】【正面】你下一个受到的【效果】不会生效，然后该效果终止。</t>
    </r>
  </si>
  <si>
    <t>赋予自愿者坚如磐石之力，无视施加于己身的诅咒，生效之后化为青烟消散。</t>
  </si>
  <si>
    <t>定身符</t>
  </si>
  <si>
    <t>·该术法进行的攻击检定无法被反击。
·检定成功时，对目标造成【削弱攻击 4】。</t>
  </si>
  <si>
    <t>将符箓贴在目标身上，可化为一道黄关钻入其体内，化为无形枷锁使其难以移动。</t>
  </si>
  <si>
    <t>天盾符</t>
  </si>
  <si>
    <t>2*X点灵力值</t>
  </si>
  <si>
    <t>1~X个目标</t>
  </si>
  <si>
    <t>·对自愿的目标造成【强化防御 2】持续到你累计减少2 点生命值。</t>
  </si>
  <si>
    <t>将厚重的土黄色符纸置于胸前，受到剧烈冲击时面前顿时出现一个半透明的金色盾面抵御伤害，坚如磐石稳若泰山。</t>
  </si>
  <si>
    <t>招雷符</t>
  </si>
  <si>
    <t>·检定成功时，对目标造成【雷电伤害 3】。</t>
  </si>
  <si>
    <t>将符箓射向云层当中，乌云凝聚，风云变色，一道撕裂长空的狂暴雷霆应召而至，带着煌煌天威，以无匹之势轰向敌人。</t>
  </si>
  <si>
    <t>五行遁身符</t>
  </si>
  <si>
    <t>·如果场景中存在有关五行的场景要素，你可以通过标签对自身造成下列单一效果。
【金属】：【非瞬间效果】【正面】你获得【物理抗性 2】，【雷电易伤 1】。
【树木】：【非瞬间效果】【正面】你获得【冰霜抗性 2】，【火焰易伤 1】。
【水流】：【非瞬间效果】【正面】你获得【雷电抗性 2】，【冰霜易伤 1】。
【火焰】：【非瞬间效果】【正面】你获得【冰霜抗性 1】。
【岩石】：【非瞬间效果】【正面】你获得【雷电抗性 1】。</t>
  </si>
  <si>
    <t>三尸镇心符</t>
  </si>
  <si>
    <t>·（由你选择）对自愿目标造成【清除效果 2】/对自愿目标造成【清除效果 3】+【湮灭伤害 2】。</t>
  </si>
  <si>
    <t>压制心魔妄念，贴于眉心可见青黑之气流转，借三尸分化之力镇压心中恶念，使用过度会导致精神错乱，迷失自我。</t>
  </si>
  <si>
    <t>五雷诛邪印</t>
  </si>
  <si>
    <t>·检定成功时，对目标造成【雷电伤害 4】+如果目标是【鬼魂】生物，对目标额外造成【湮灭伤害 2】。</t>
  </si>
  <si>
    <t>龙虎山秘传雷法，掌心迸发五色雷霆。</t>
  </si>
  <si>
    <t>九幽唤魂令</t>
  </si>
  <si>
    <t>·以死者的生辰八字为引，唤来死者的灵魂，你可以询问死者一个问题，死者会在20字以内知无不言。
·如果生辰八字不对，该符箓不会生效。</t>
  </si>
  <si>
    <t>黄泉路上引亡魂，需以逝者生辰八字为引，若招来非所求之魂，符纸会渗出黑血。</t>
  </si>
  <si>
    <t>玄阴嫁衣咒</t>
  </si>
  <si>
    <t>·该符箓只能对没有灵识的人使用，在没有灵力值的生物看来，你与目标会变得完全一样。</t>
  </si>
  <si>
    <t>需在纯阴之处炼制符箓，将符箓贴在他人衣服内，将别人当作自己的嫁衣，可窃夺被施咒者身份，迷惑别人认知，是极阴损的符箓。</t>
  </si>
  <si>
    <t>乾坤挪移符</t>
  </si>
  <si>
    <r>
      <rPr>
        <sz val="10"/>
        <color theme="1"/>
        <rFont val="微软雅黑"/>
        <charset val="134"/>
      </rPr>
      <t>·对自愿的目标造成</t>
    </r>
    <r>
      <rPr>
        <b/>
        <sz val="10"/>
        <color theme="1"/>
        <rFont val="微软雅黑"/>
        <charset val="134"/>
      </rPr>
      <t>【先天八卦】</t>
    </r>
    <r>
      <rPr>
        <sz val="10"/>
        <color theme="1"/>
        <rFont val="微软雅黑"/>
        <charset val="134"/>
      </rPr>
      <t>+对自身造成</t>
    </r>
    <r>
      <rPr>
        <b/>
        <sz val="10"/>
        <color theme="1"/>
        <rFont val="微软雅黑"/>
        <charset val="134"/>
      </rPr>
      <t>【先天八卦】</t>
    </r>
    <r>
      <rPr>
        <sz val="10"/>
        <color theme="1"/>
        <rFont val="微软雅黑"/>
        <charset val="134"/>
      </rPr>
      <t xml:space="preserve">。
</t>
    </r>
    <r>
      <rPr>
        <b/>
        <sz val="10"/>
        <color theme="1"/>
        <rFont val="微软雅黑"/>
        <charset val="134"/>
      </rPr>
      <t>【先天八卦】</t>
    </r>
    <r>
      <rPr>
        <sz val="10"/>
        <color theme="1"/>
        <rFont val="微软雅黑"/>
        <charset val="134"/>
      </rPr>
      <t>：【非瞬间效果】【正面】当其他具有【先天八卦】的生物被攻击时，你可以将被攻击的目标改为你。</t>
    </r>
  </si>
  <si>
    <t>以先天八卦为基，可令施术者与视野内任意目标移形换位，空间裂隙残留三息方散。</t>
  </si>
  <si>
    <t>白虎肃杀令</t>
  </si>
  <si>
    <r>
      <rPr>
        <sz val="10"/>
        <color theme="1"/>
        <rFont val="微软雅黑"/>
        <charset val="134"/>
      </rPr>
      <t>·对自愿目标使用会造成</t>
    </r>
    <r>
      <rPr>
        <b/>
        <sz val="10"/>
        <color theme="1"/>
        <rFont val="微软雅黑"/>
        <charset val="134"/>
      </rPr>
      <t>【杀气】</t>
    </r>
    <r>
      <rPr>
        <sz val="10"/>
        <color theme="1"/>
        <rFont val="微软雅黑"/>
        <charset val="134"/>
      </rPr>
      <t xml:space="preserve">持续到你离开当前场景。
</t>
    </r>
    <r>
      <rPr>
        <b/>
        <sz val="10"/>
        <color theme="1"/>
        <rFont val="微软雅黑"/>
        <charset val="134"/>
      </rPr>
      <t>【杀气】</t>
    </r>
    <r>
      <rPr>
        <sz val="10"/>
        <color theme="1"/>
        <rFont val="微软雅黑"/>
        <charset val="134"/>
      </rPr>
      <t>：【非瞬间效果】【正面】你的武技强度+2，你的术法强度-2。</t>
    </r>
  </si>
  <si>
    <t>兵家杀气所化，佩戴者武艺精进，但会渐失仁慈之心，化作白虎凶兽一般与敌人厮杀，转破邪祟凶煞。</t>
  </si>
  <si>
    <t>金乌破障符</t>
  </si>
  <si>
    <t>效果术法/攻击术法【体魄】</t>
  </si>
  <si>
    <t>·（效果术法）对自愿目标施展，获得【破障】。
【破障】：【非瞬间效果】【正面】你选择目标进行攻击检定时，目标选择反击时进行攻击检定无法激活标签。
·（攻击术法【体魄】）检定成功时，对目标造成【障目】。
【障目】：【非瞬间效果】【负面】你无法消耗灵力值和施展需要消耗灵力值的能力。</t>
  </si>
  <si>
    <t>烈日精华所凝，双眼迸射金乌之光，专破幻术迷障，也可致人目盲。</t>
  </si>
  <si>
    <t>萤照</t>
  </si>
  <si>
    <t>祷诀</t>
  </si>
  <si>
    <t>·检定成功时，造成【火焰伤害 1】+如果目标是【异兽】生物，对目标额外造成【火焰伤害 3】+如果【成功等级】≥3，对目标额外造成【火焰伤害 3】。</t>
  </si>
  <si>
    <t>念咒时从袖口飞出三两点碧绿萤火，遇阴邪之物便剧烈燃烧，在腐尸表面灼出焦黑梵
文。</t>
  </si>
  <si>
    <t>铁衣寒</t>
  </si>
  <si>
    <t>·对自身造成【获得物理抗性 2】持续到累计受到 3 次【物理伤害】+对自身造成【冰霜伤害 1】。</t>
  </si>
  <si>
    <t>咒文念罢周身泛起金属光泽，接下来三次受击会发出钟罄般的嗡鸣，但施术者会持续感到刺骨寒意。</t>
  </si>
  <si>
    <t>替影术</t>
  </si>
  <si>
    <r>
      <rPr>
        <sz val="10"/>
        <color theme="1"/>
        <rFont val="微软雅黑"/>
        <charset val="134"/>
      </rPr>
      <t>·对自身造成</t>
    </r>
    <r>
      <rPr>
        <b/>
        <sz val="10"/>
        <color theme="1"/>
        <rFont val="微软雅黑"/>
        <charset val="134"/>
      </rPr>
      <t>【替身】</t>
    </r>
    <r>
      <rPr>
        <sz val="10"/>
        <color theme="1"/>
        <rFont val="微软雅黑"/>
        <charset val="134"/>
      </rPr>
      <t xml:space="preserve">持续到你离开当前场景。
</t>
    </r>
    <r>
      <rPr>
        <b/>
        <sz val="10"/>
        <color theme="1"/>
        <rFont val="微软雅黑"/>
        <charset val="134"/>
      </rPr>
      <t>【替身】</t>
    </r>
    <r>
      <rPr>
        <sz val="10"/>
        <color theme="1"/>
        <rFont val="微软雅黑"/>
        <charset val="134"/>
      </rPr>
      <t>：【非瞬间效果】【正面】你受到【伤害】时，使本次受到的所有【伤害】全部无法生效，然后终止本效果。</t>
    </r>
  </si>
  <si>
    <t>对着自己的影子跺脚念咒，下次受创时伤口会诡异地出现在十步外某物的投影上。</t>
  </si>
  <si>
    <t>牵丝偶</t>
  </si>
  <si>
    <t>·控制无灵力目标的一举一动，持续到你离开当前场景。</t>
  </si>
  <si>
    <t>每吐一字便从指间抽出半透明丝线，最终缠住目标关节，可操控其动作但会持续消耗心神。</t>
  </si>
  <si>
    <t>嘲风吼</t>
  </si>
  <si>
    <t>·该术法进行的攻击检定无法被反击。
·检定成功时，对目标造成【削弱攻击 3】+如果【成功等级】≥3，对目标额外造成【削弱攻击 3】。</t>
  </si>
  <si>
    <t>模仿犬吠猫啼等七种动物叫声念咒，中术者会不受控制地狂笑，笑声里混着野兽般的嘶吼。</t>
  </si>
  <si>
    <t>青蚨寻财术</t>
  </si>
  <si>
    <t>·你对自身造成【造物2】。
·你指向一件你见过的物件，只要这个物件存在，你就能知道这个物件模糊的方向。</t>
  </si>
  <si>
    <t>以母子钱为媒，可追踪失物去向，尤其是针对黄白财物，尤为有效。</t>
  </si>
  <si>
    <t>纸人哭</t>
  </si>
  <si>
    <r>
      <rPr>
        <sz val="10"/>
        <rFont val="微软雅黑"/>
        <charset val="134"/>
      </rPr>
      <t>·检定成功时，对目标造成</t>
    </r>
    <r>
      <rPr>
        <b/>
        <sz val="10"/>
        <rFont val="微软雅黑"/>
        <charset val="134"/>
      </rPr>
      <t>【鬼灵】</t>
    </r>
    <r>
      <rPr>
        <sz val="10"/>
        <rFont val="微软雅黑"/>
        <charset val="134"/>
      </rPr>
      <t xml:space="preserve">持续到你离开当前场景。
</t>
    </r>
    <r>
      <rPr>
        <b/>
        <sz val="10"/>
        <rFont val="微软雅黑"/>
        <charset val="134"/>
      </rPr>
      <t>【鬼灵】</t>
    </r>
    <r>
      <rPr>
        <sz val="10"/>
        <rFont val="微软雅黑"/>
        <charset val="134"/>
      </rPr>
      <t>：【非瞬间效果】【负面】你的回合开始时会受到【灵识伤害 1】。
·如果【成功等级】≥3，对自身造成【增加灵力 2】。</t>
    </r>
  </si>
  <si>
    <t>将咒文写在黄纸上撕成人形，落地即成满脸血泪的侏儒，抱着敌人腿脚哭诉前世冤屈。</t>
  </si>
  <si>
    <t>渡心诀</t>
  </si>
  <si>
    <t>·你选择一个自愿的生物，生物会被超度。</t>
  </si>
  <si>
    <t>诵念蕴含慈悲之力的古老梵音，周身浮现净化金纹。柔和光芒笼罩目标亡灵，驱散其怨憎戾气，化解未了执念。引导其残存的意识重归宁静，步入轮回往生之路。</t>
  </si>
  <si>
    <t>千钧语</t>
  </si>
  <si>
    <r>
      <rPr>
        <sz val="10"/>
        <rFont val="微软雅黑"/>
        <charset val="134"/>
      </rPr>
      <t>·该术法进行的攻击检定无法被反击。
·检定成功时，对目标造成</t>
    </r>
    <r>
      <rPr>
        <b/>
        <sz val="10"/>
        <rFont val="微软雅黑"/>
        <charset val="134"/>
      </rPr>
      <t>【压迫】</t>
    </r>
    <r>
      <rPr>
        <sz val="10"/>
        <rFont val="微软雅黑"/>
        <charset val="134"/>
      </rPr>
      <t xml:space="preserve">持续到你离开当前场景。
</t>
    </r>
    <r>
      <rPr>
        <b/>
        <sz val="10"/>
        <rFont val="微软雅黑"/>
        <charset val="134"/>
      </rPr>
      <t>【压迫】</t>
    </r>
    <r>
      <rPr>
        <sz val="10"/>
        <rFont val="微软雅黑"/>
        <charset val="134"/>
      </rPr>
      <t>：【非瞬间效果】【负面】你施展武技造成【伤害】时，所有【伤害】都会减少 1 级。
·如果【成功等级】≥3，对自身造成【强化防御 2】。</t>
    </r>
  </si>
  <si>
    <t>说出的每个字都重若千钧，在泥地上会压出深坑，若直接对敌人口述可震碎其牙齿。</t>
  </si>
  <si>
    <t>逆鳞甲</t>
  </si>
  <si>
    <t>·检定成功时，对目标造成【物理伤害 X】（X 等同于你上个回合结束到当前回合开始中所受到伤害的两倍）+如果【成功等级】≥3，对目标额外造成【物理伤害 2】。</t>
  </si>
  <si>
    <t>咒语激活后受击处自动生出青黑色鳞片，三息内将所受伤害双倍奉还给攻击者。</t>
  </si>
  <si>
    <t>相思线</t>
  </si>
  <si>
    <t>·你与自愿的目标交换头发，对目标造成【同生】+对自身造成【同生】。
【同生】：【非瞬间效果】【负面】你获得【物理抗性 2】【灵识抗性 2】【火焰抗性 2】【冰霜抗性 2】【雷电抗性 2】。
·你受到【伤害】导致减少生命值时，其他具有【同生】的生物也会减少相同的生命值。
·对你造成【同生】的生物受到【伤害】导致减少生命值时，你也会减少相同的生命值。
·其中一个【同生】效果未生效时，另一个【同生】效果也不生效。</t>
  </si>
  <si>
    <t>取双方头发各一缕念咒，此后两人会无意识保持
十步内距离，效果持续至月升时分。</t>
  </si>
  <si>
    <t>鬼拍手</t>
  </si>
  <si>
    <t>·该术法进行的攻击检定无法被反击。
·检定成功时，对目标造成【削弱防御 3】+如果【成功等级】≥3，对目标额外造成【削弱防御 3】。</t>
  </si>
  <si>
    <t>朝老槐树念完咒文，树影里会伸出半透明手掌拍打过路者肩膀，被拍者必回头三次。</t>
  </si>
  <si>
    <t>借东风</t>
  </si>
  <si>
    <t>·检定成功时，对目标造成【火焰伤害 4】
·如果【成功等级】≥3，对目标造成【火焰伤害 4】。</t>
  </si>
  <si>
    <t>对烛火吟唱时火焰突然暴涨，从中飞出无数火星组成的战船虚影，灼烧处留下焦糊箭
痕。</t>
  </si>
  <si>
    <t>悬丝诊</t>
  </si>
  <si>
    <t>·投掷一枚 D4，对目标造成【恢复 X】（X 为你投掷 d4的值）。</t>
  </si>
  <si>
    <t>将蚕丝系在病人手腕念咒，丝线自动缠绕病灶部位，严重处会渗出对应颜色的汁液。</t>
  </si>
  <si>
    <t>傀儡光</t>
  </si>
  <si>
    <r>
      <rPr>
        <sz val="10"/>
        <rFont val="微软雅黑"/>
        <charset val="134"/>
      </rPr>
      <t>·对自身造成</t>
    </r>
    <r>
      <rPr>
        <b/>
        <sz val="10"/>
        <rFont val="微软雅黑"/>
        <charset val="134"/>
      </rPr>
      <t>【重影】</t>
    </r>
    <r>
      <rPr>
        <sz val="10"/>
        <rFont val="微软雅黑"/>
        <charset val="134"/>
      </rPr>
      <t xml:space="preserve">持续到你离开当前场景。
</t>
    </r>
    <r>
      <rPr>
        <b/>
        <sz val="10"/>
        <rFont val="微软雅黑"/>
        <charset val="134"/>
      </rPr>
      <t>【重影】</t>
    </r>
    <r>
      <rPr>
        <sz val="10"/>
        <rFont val="微软雅黑"/>
        <charset val="134"/>
      </rPr>
      <t>：【非瞬间效果】【正面】当本回合与上回合执行的行动相同（见进攻）时，对你造成【强化攻击2】。</t>
    </r>
  </si>
  <si>
    <t>指尖迸出七缕彩色光线黏住目标，其动作会延迟半拍模仿施术者，如同镜中倒影。</t>
  </si>
  <si>
    <t>血胭脂</t>
  </si>
  <si>
    <r>
      <rPr>
        <sz val="10"/>
        <rFont val="微软雅黑"/>
        <charset val="134"/>
      </rPr>
      <t>·对自身造成</t>
    </r>
    <r>
      <rPr>
        <b/>
        <sz val="10"/>
        <rFont val="微软雅黑"/>
        <charset val="134"/>
      </rPr>
      <t>【魅惑】</t>
    </r>
    <r>
      <rPr>
        <sz val="10"/>
        <rFont val="微软雅黑"/>
        <charset val="134"/>
      </rPr>
      <t xml:space="preserve">持续到离开当前场景结束。
</t>
    </r>
    <r>
      <rPr>
        <b/>
        <sz val="10"/>
        <rFont val="微软雅黑"/>
        <charset val="134"/>
      </rPr>
      <t>【魅惑】</t>
    </r>
    <r>
      <rPr>
        <sz val="10"/>
        <rFont val="微软雅黑"/>
        <charset val="134"/>
      </rPr>
      <t>：【非瞬间效果】【正面】你进行的说服检定获得（术法强度）枚加骰。</t>
    </r>
  </si>
  <si>
    <t>取自身鲜血混入胭脂念咒，涂抹后可维持绝美面容十二时辰，但卸妆时必呕出等量鲜
血。</t>
  </si>
  <si>
    <t>盗梦诀</t>
  </si>
  <si>
    <t>·你穿越进入熟睡的无灵力目标的梦境中，从梦境中获得生物所知的讯息。</t>
  </si>
  <si>
    <t>对着熟睡者耳语咒文，可取其最近梦境片段凝成水晶，捏碎后他人能体验梦境内容。</t>
  </si>
  <si>
    <t>玄武闸</t>
  </si>
  <si>
    <r>
      <rPr>
        <sz val="10"/>
        <rFont val="微软雅黑"/>
        <charset val="134"/>
      </rPr>
      <t>·对自身造成</t>
    </r>
    <r>
      <rPr>
        <b/>
        <sz val="10"/>
        <rFont val="微软雅黑"/>
        <charset val="134"/>
      </rPr>
      <t>【玄武盾】</t>
    </r>
    <r>
      <rPr>
        <sz val="10"/>
        <rFont val="微软雅黑"/>
        <charset val="134"/>
      </rPr>
      <t xml:space="preserve">持续到你进行攻击检定。
</t>
    </r>
    <r>
      <rPr>
        <b/>
        <sz val="10"/>
        <rFont val="微软雅黑"/>
        <charset val="134"/>
      </rPr>
      <t>【玄武盾】</t>
    </r>
    <r>
      <rPr>
        <sz val="10"/>
        <rFont val="微软雅黑"/>
        <charset val="134"/>
      </rPr>
      <t>：【非瞬间效果】【正面】你选择防御时，对你造成的所有【伤害】减少 1 级。</t>
    </r>
  </si>
  <si>
    <t>唤玄武之灵护体，凝聚坚实护盾。但释咒者不可妄生杀心。</t>
  </si>
  <si>
    <t>交神咒</t>
  </si>
  <si>
    <t>·你选择场景中的一只动物和植物，你可以与其沟通并要求它回答关于这个场景的 1 个问题。</t>
  </si>
  <si>
    <t>念咒后与草木鸟兽建立心神链接，可向其探询此地奥秘。</t>
  </si>
  <si>
    <t>幻镜像</t>
  </si>
  <si>
    <t>·你创造场景标签【幻影】持续到你离开当前场景。</t>
  </si>
  <si>
    <t>施咒扭曲光影，于周身环境当中布下重重虚幻之象，迷惑敌眼。</t>
  </si>
  <si>
    <t>幻音声</t>
  </si>
  <si>
    <t>·你创造场景标签【幻音】持续到你离开当前场景。</t>
  </si>
  <si>
    <t>释咒操控声波，凭空制造真假难辨的声响，扰乱听觉感知。</t>
  </si>
  <si>
    <t>幻剑冢</t>
  </si>
  <si>
    <t>·检定成功时，对目标造成【削弱攻击 2】+【削弱防御2】+如果【成功等级】≥3，对目标额外造成【削弱防御 2】。</t>
  </si>
  <si>
    <t>以自身灵气凝结虚幻剑意袭扰目标心神，使其疲于应对，首尾不能相顾。</t>
  </si>
  <si>
    <t>祝灵术</t>
  </si>
  <si>
    <r>
      <rPr>
        <sz val="10"/>
        <rFont val="微软雅黑"/>
        <charset val="134"/>
      </rPr>
      <t>·对目标造成</t>
    </r>
    <r>
      <rPr>
        <b/>
        <sz val="10"/>
        <rFont val="微软雅黑"/>
        <charset val="134"/>
      </rPr>
      <t>【祝灵】</t>
    </r>
    <r>
      <rPr>
        <sz val="10"/>
        <rFont val="微软雅黑"/>
        <charset val="134"/>
      </rPr>
      <t xml:space="preserve">。
</t>
    </r>
    <r>
      <rPr>
        <b/>
        <sz val="10"/>
        <rFont val="微软雅黑"/>
        <charset val="134"/>
      </rPr>
      <t>【祝灵】</t>
    </r>
    <r>
      <rPr>
        <sz val="10"/>
        <rFont val="微软雅黑"/>
        <charset val="134"/>
      </rPr>
      <t>：【非瞬间效果】【正面】你施展灵能力进行行动检定时获得 1 枚加骰。</t>
    </r>
  </si>
  <si>
    <t>诵念祝福真言，唤天地之灵激发人体潜能，使其如有神助。</t>
  </si>
  <si>
    <t>招魂术</t>
  </si>
  <si>
    <r>
      <rPr>
        <sz val="10"/>
        <rFont val="微软雅黑"/>
        <charset val="134"/>
      </rPr>
      <t xml:space="preserve">·检定成功时，你招呼面前 1 个类型为【魂魄】生物，你可以向其问一个问题。如果对失魂的活人使用，在其魂魄未远离且无干扰的情况下可以被招回。
</t>
    </r>
    <r>
      <rPr>
        <b/>
        <sz val="10"/>
        <rFont val="微软雅黑"/>
        <charset val="134"/>
      </rPr>
      <t>·你在施展此术法时需要先询问 DH 所需的成功等级。</t>
    </r>
  </si>
  <si>
    <t>以灵力沟通幽冥，可召唤无主魂魄问询一事；若对失魂者施法，在魂魄未远遁且无阻隔时，可助其魂归本体。</t>
  </si>
  <si>
    <t>天光球</t>
  </si>
  <si>
    <t>·场景中所有生物的进行的隐秘检定获得的【成功等级】减少 1 个，持续到你离开该场景。</t>
  </si>
  <si>
    <t>召来纯净天光充盈场景，驱散阴影，令所有身处其中的生物无所遁形。</t>
  </si>
  <si>
    <t>金刚破</t>
  </si>
  <si>
    <t>·检定成功时，对目标造成【赋予雷电易伤 1】+如果【成功等级】≥3，对目标额外造成【赋予雷电易伤 1】。</t>
  </si>
  <si>
    <t>凝聚刚猛灵力直击目标心神，将其打入邪魔外道，易受天雷加身。</t>
  </si>
  <si>
    <t>灵绳术</t>
  </si>
  <si>
    <t>·创造物品标签【灵绳】，该绳索可以如常触碰、捆绑、牵制鬼魂。</t>
  </si>
  <si>
    <t>以灵力编织无形之索。此绳可如实体般触碰、束缚虚无缥缈的鬼魂灵体。</t>
  </si>
  <si>
    <t>抚慰词</t>
  </si>
  <si>
    <t>2个目标</t>
  </si>
  <si>
    <t>·你可以使两个无灵力的目标停止争吵或停止暴力行为，也可以让他们开始争吵或开始暴力行为。</t>
  </si>
  <si>
    <t>诵念蕴含安定或挑动之力的咒文，可平息凡人之间的争执或暴力，亦可反之点燃其怒
火、诱发争斗。</t>
  </si>
  <si>
    <t>骨笛吟</t>
  </si>
  <si>
    <t>·该术法进行的攻击检定无法被反击。
·检定成功时，对目标造成【物理伤害 2】+【减少灵力2】+如果【成功等级】≥3，对目标额外造成【赋予物理易伤 1】。</t>
  </si>
  <si>
    <t>用兽骨笛吹奏咒调，听者骨骼会随韵律隐隐作痛，持续太久则关节处开出细小血花。</t>
  </si>
  <si>
    <t>饿鬼道</t>
  </si>
  <si>
    <r>
      <rPr>
        <sz val="10"/>
        <rFont val="微软雅黑"/>
        <charset val="134"/>
      </rPr>
      <t>·该术法进行的攻击检定无法被反击。
·检定成功时，对目标造成</t>
    </r>
    <r>
      <rPr>
        <b/>
        <sz val="10"/>
        <rFont val="微软雅黑"/>
        <charset val="134"/>
      </rPr>
      <t>【反胃】</t>
    </r>
    <r>
      <rPr>
        <sz val="10"/>
        <rFont val="微软雅黑"/>
        <charset val="134"/>
      </rPr>
      <t xml:space="preserve">持续到你离开当前场景。
</t>
    </r>
    <r>
      <rPr>
        <b/>
        <sz val="10"/>
        <rFont val="微软雅黑"/>
        <charset val="134"/>
      </rPr>
      <t>【反胃】</t>
    </r>
    <r>
      <rPr>
        <sz val="10"/>
        <rFont val="微软雅黑"/>
        <charset val="134"/>
      </rPr>
      <t>：【非瞬间效果】【负面】你施展术法时需要投掷一枚定骰，如果大于6才能施展该术法，否则该行动施展的术法无效且终止行动。
·如果【成功等级】≥3，对目标造成</t>
    </r>
    <r>
      <rPr>
        <b/>
        <sz val="10"/>
        <rFont val="微软雅黑"/>
        <charset val="134"/>
      </rPr>
      <t>【大反胃】</t>
    </r>
    <r>
      <rPr>
        <sz val="10"/>
        <rFont val="微软雅黑"/>
        <charset val="134"/>
      </rPr>
      <t xml:space="preserve">替代【反胃】。
</t>
    </r>
    <r>
      <rPr>
        <b/>
        <sz val="10"/>
        <rFont val="微软雅黑"/>
        <charset val="134"/>
      </rPr>
      <t>【大反胃】</t>
    </r>
    <r>
      <rPr>
        <sz val="10"/>
        <rFont val="微软雅黑"/>
        <charset val="134"/>
      </rPr>
      <t>：【非瞬间效果】【负面】你施展术法时需要投掷一枚定骰，如果大于10才能施展该术法，否则该行动施展的术法无效且行动中止。</t>
    </r>
  </si>
  <si>
    <t>朝目标抛洒香灰念咒，其接下来进食时必见食物
爬满蛆虫，效果持续至吞咽三次唾液。</t>
  </si>
  <si>
    <t>哭丧棒</t>
  </si>
  <si>
    <t>5点灵力值</t>
  </si>
  <si>
    <r>
      <rPr>
        <sz val="10"/>
        <rFont val="微软雅黑"/>
        <charset val="134"/>
      </rPr>
      <t>·对自身造成</t>
    </r>
    <r>
      <rPr>
        <b/>
        <sz val="10"/>
        <rFont val="微软雅黑"/>
        <charset val="134"/>
      </rPr>
      <t>【破魂】</t>
    </r>
    <r>
      <rPr>
        <sz val="10"/>
        <rFont val="微软雅黑"/>
        <charset val="134"/>
      </rPr>
      <t xml:space="preserve">持续到你离开当前场景。
</t>
    </r>
    <r>
      <rPr>
        <b/>
        <sz val="10"/>
        <rFont val="微软雅黑"/>
        <charset val="134"/>
      </rPr>
      <t>【破魂】</t>
    </r>
    <r>
      <rPr>
        <sz val="10"/>
        <rFont val="微软雅黑"/>
        <charset val="134"/>
      </rPr>
      <t>：【非瞬间效果】【正面】你对【鬼魂】生物造成非【破魂】造成的【伤害】时，额外造成【灵识伤害 2】。</t>
    </r>
  </si>
  <si>
    <t>挥舞缠着白布的棍棒吟唱，所过之处地面渗出黑色泪渍，亡魂会主动为其让路。</t>
  </si>
  <si>
    <t>喝令诀</t>
  </si>
  <si>
    <t>·该术法进行的攻击检定无法被反击。
·检定成功时，你借神之口对目标念出一句带有强制性效力的短命令，比如“滚”“闭嘴”或“交给我”等等。目标生物会尽可能完成你的命令，然后术法终止。但你无法以此让生物伤害自己。
·如果【成功等级】≥3，对目标造成【灵识伤害 2】。</t>
  </si>
  <si>
    <t>以心魂之力引动神威，向单一目标发出不容抗拒的简短敕令。</t>
  </si>
  <si>
    <t>斥诀</t>
  </si>
  <si>
    <r>
      <rPr>
        <sz val="10"/>
        <rFont val="微软雅黑"/>
        <charset val="134"/>
      </rPr>
      <t>·对自身造成</t>
    </r>
    <r>
      <rPr>
        <b/>
        <sz val="10"/>
        <rFont val="微软雅黑"/>
        <charset val="134"/>
      </rPr>
      <t>【斥盾】</t>
    </r>
    <r>
      <rPr>
        <sz val="10"/>
        <rFont val="微软雅黑"/>
        <charset val="134"/>
      </rPr>
      <t xml:space="preserve">。
</t>
    </r>
    <r>
      <rPr>
        <b/>
        <sz val="10"/>
        <rFont val="微软雅黑"/>
        <charset val="134"/>
      </rPr>
      <t>【斥盾】</t>
    </r>
    <r>
      <rPr>
        <sz val="10"/>
        <rFont val="微软雅黑"/>
        <charset val="134"/>
      </rPr>
      <t>：【非瞬间效果】【正面】你受到【灵识伤害】和【物理伤害】时，这些【伤害】会减少 1 级。</t>
    </r>
  </si>
  <si>
    <t>于周身布下无形斥力护盾，可拒来袭危机于千里之外。</t>
  </si>
  <si>
    <t>伏火</t>
  </si>
  <si>
    <r>
      <rPr>
        <sz val="10"/>
        <rFont val="微软雅黑"/>
        <charset val="134"/>
      </rPr>
      <t>·对自己造成</t>
    </r>
    <r>
      <rPr>
        <b/>
        <sz val="10"/>
        <rFont val="微软雅黑"/>
        <charset val="134"/>
      </rPr>
      <t>【引火盾】</t>
    </r>
    <r>
      <rPr>
        <sz val="10"/>
        <rFont val="微软雅黑"/>
        <charset val="134"/>
      </rPr>
      <t xml:space="preserve">持续到你离开当前场景。
</t>
    </r>
    <r>
      <rPr>
        <b/>
        <sz val="10"/>
        <rFont val="微软雅黑"/>
        <charset val="134"/>
      </rPr>
      <t>【引火盾】</t>
    </r>
    <r>
      <rPr>
        <sz val="10"/>
        <rFont val="微软雅黑"/>
        <charset val="134"/>
      </rPr>
      <t>：【非瞬间效果】【正面】你选择防御使目标进行的攻击检定未成功时，对进行攻击检定的目标造成【火焰伤害 2】+【赋予火焰易伤 1】，然后终止本效果。</t>
    </r>
  </si>
  <si>
    <t>引燃烈焰覆护己身，烈焰将反噬攻击者，并使其烈火缠身。</t>
  </si>
  <si>
    <t>霜埋</t>
  </si>
  <si>
    <r>
      <rPr>
        <sz val="10"/>
        <rFont val="微软雅黑"/>
        <charset val="134"/>
      </rPr>
      <t>·对自己造成</t>
    </r>
    <r>
      <rPr>
        <b/>
        <sz val="10"/>
        <rFont val="微软雅黑"/>
        <charset val="134"/>
      </rPr>
      <t>【霜伏】</t>
    </r>
    <r>
      <rPr>
        <sz val="10"/>
        <rFont val="微软雅黑"/>
        <charset val="134"/>
      </rPr>
      <t xml:space="preserve">持续到你离开当前场景。
</t>
    </r>
    <r>
      <rPr>
        <b/>
        <sz val="10"/>
        <rFont val="微软雅黑"/>
        <charset val="134"/>
      </rPr>
      <t>【霜伏】</t>
    </r>
    <r>
      <rPr>
        <sz val="10"/>
        <rFont val="微软雅黑"/>
        <charset val="134"/>
      </rPr>
      <t xml:space="preserve">：【非瞬间效果】【正面】当你施展的攻击检定未成功时，你可以消耗 1 点灵力值改为成功并视为具有 1 个【成功等级】，然后终止本效果。
·（摘自攻击与防守）
 ·反击：当你选择反击时，你立即执行一次需要你进行攻击检定的行动，将这次攻击检定（承受5点减值）的结果作为本次攻击的挑战值。
 </t>
    </r>
    <r>
      <rPr>
        <b/>
        <sz val="10"/>
        <rFont val="微软雅黑"/>
        <charset val="134"/>
      </rPr>
      <t>即反击没有未成功的概念，所以霜埋不能触发反击。</t>
    </r>
  </si>
  <si>
    <t>深埋寒霜之力于体内，如同蓄势待发的毒蛇，候机而动。</t>
  </si>
  <si>
    <t>镇雷</t>
  </si>
  <si>
    <r>
      <rPr>
        <sz val="10"/>
        <rFont val="微软雅黑"/>
        <charset val="134"/>
      </rPr>
      <t>·对自身造成</t>
    </r>
    <r>
      <rPr>
        <b/>
        <sz val="10"/>
        <rFont val="微软雅黑"/>
        <charset val="134"/>
      </rPr>
      <t>【充电】</t>
    </r>
    <r>
      <rPr>
        <sz val="10"/>
        <rFont val="微软雅黑"/>
        <charset val="134"/>
      </rPr>
      <t xml:space="preserve">持续到你离开当前场景。
</t>
    </r>
    <r>
      <rPr>
        <b/>
        <sz val="10"/>
        <rFont val="微软雅黑"/>
        <charset val="134"/>
      </rPr>
      <t>【充电】</t>
    </r>
    <r>
      <rPr>
        <sz val="10"/>
        <rFont val="微软雅黑"/>
        <charset val="134"/>
      </rPr>
      <t>：【非瞬间效果】【正面】当你施展灵能力进行攻击检定成功时额外造成【雷电伤害 2】，然后终止该能力。</t>
    </r>
  </si>
  <si>
    <t>将雷霆能量积蓄于己身，可使雷霆挥之如臂，如若神临。</t>
  </si>
  <si>
    <t>水月刺</t>
  </si>
  <si>
    <t>·检定成功时，对目标造成【灵识伤害 2】+【削弱防御2】+如果【成功等级】≥3，对目标额外造成【灵识伤害 2】。</t>
  </si>
  <si>
    <t>双手捧水念咒，水中倒影的月亮会凝结成冰晶短剑，刺入肉体无伤却令魂魄剧痛。</t>
  </si>
  <si>
    <t>逆流命</t>
  </si>
  <si>
    <t>·对自身造成【湮灭伤害 4】，对目标造成【恢复 4】。</t>
  </si>
  <si>
    <t>以命换命，链接生命之河，将自身生命引渡于他人。</t>
  </si>
  <si>
    <t>三更锣</t>
  </si>
  <si>
    <r>
      <rPr>
        <sz val="10"/>
        <rFont val="微软雅黑"/>
        <charset val="134"/>
      </rPr>
      <t>·检定成功时，对目标造成</t>
    </r>
    <r>
      <rPr>
        <b/>
        <sz val="10"/>
        <rFont val="微软雅黑"/>
        <charset val="134"/>
      </rPr>
      <t>【失魂】</t>
    </r>
    <r>
      <rPr>
        <sz val="10"/>
        <rFont val="微软雅黑"/>
        <charset val="134"/>
      </rPr>
      <t xml:space="preserve">。
</t>
    </r>
    <r>
      <rPr>
        <b/>
        <sz val="10"/>
        <rFont val="微软雅黑"/>
        <charset val="134"/>
      </rPr>
      <t>【失魂】</t>
    </r>
    <r>
      <rPr>
        <sz val="10"/>
        <rFont val="微软雅黑"/>
        <charset val="134"/>
      </rPr>
      <t>：【非瞬间效果】【负面】你不能消耗灵力值。
·如果【成功等级】≥3，对目标造成【减少灵力 2】。</t>
    </r>
  </si>
  <si>
    <t>敲击铜锣念咒，范围内活人皆闻打更声，随后出现短暂失魂症状，如木偶般僵立。</t>
  </si>
  <si>
    <t>金刚缚魔印</t>
  </si>
  <si>
    <t>凭术</t>
  </si>
  <si>
    <r>
      <rPr>
        <sz val="10"/>
        <rFont val="微软雅黑"/>
        <charset val="134"/>
      </rPr>
      <t>·对自身造成</t>
    </r>
    <r>
      <rPr>
        <b/>
        <sz val="10"/>
        <rFont val="微软雅黑"/>
        <charset val="134"/>
      </rPr>
      <t>【缚魔印】</t>
    </r>
    <r>
      <rPr>
        <sz val="10"/>
        <rFont val="微软雅黑"/>
        <charset val="134"/>
      </rPr>
      <t xml:space="preserve">持续到你离开当前场景。
</t>
    </r>
    <r>
      <rPr>
        <b/>
        <sz val="10"/>
        <rFont val="微软雅黑"/>
        <charset val="134"/>
      </rPr>
      <t>【缚魔印】</t>
    </r>
    <r>
      <rPr>
        <sz val="10"/>
        <rFont val="微软雅黑"/>
        <charset val="134"/>
      </rPr>
      <t>：【非瞬间效果】【正面】你施展武技对目标造成【灵识伤害】时，对目标额外造成【灵识伤害 1】+【削弱防御 1】。</t>
    </r>
  </si>
  <si>
    <t>双手作金刚拳交叉于胸前，地面浮现鎏金卍字纹。被禁锢者七窍渗出金粉，施术者眼角同时出现金色裂痕。</t>
  </si>
  <si>
    <t>五岳镇魂符</t>
  </si>
  <si>
    <r>
      <rPr>
        <sz val="10"/>
        <rFont val="微软雅黑"/>
        <charset val="134"/>
      </rPr>
      <t>·对自身造成</t>
    </r>
    <r>
      <rPr>
        <b/>
        <sz val="10"/>
        <rFont val="微软雅黑"/>
        <charset val="134"/>
      </rPr>
      <t>【五岳镇魂】</t>
    </r>
    <r>
      <rPr>
        <sz val="10"/>
        <rFont val="微软雅黑"/>
        <charset val="134"/>
      </rPr>
      <t xml:space="preserve">持续到你离开当前场景。
</t>
    </r>
    <r>
      <rPr>
        <b/>
        <sz val="10"/>
        <rFont val="微软雅黑"/>
        <charset val="134"/>
      </rPr>
      <t>【五岳镇魂】</t>
    </r>
    <r>
      <rPr>
        <sz val="10"/>
        <rFont val="微软雅黑"/>
        <charset val="134"/>
      </rPr>
      <t>：【非瞬间效果】【正面】你执行行动造成【物理伤害】时，对目标额外造成【赋予物理易伤 3】，然后终止本效果。</t>
    </r>
  </si>
  <si>
    <t>咬破指尖在黄裱纸上速画五岳真形图，符纸离手即化作五座微型山影，中术者关节发出岩石摩擦声。</t>
  </si>
  <si>
    <t>业火红莲</t>
  </si>
  <si>
    <r>
      <rPr>
        <sz val="10"/>
        <rFont val="微软雅黑"/>
        <charset val="134"/>
      </rPr>
      <t>·对自身造成</t>
    </r>
    <r>
      <rPr>
        <b/>
        <sz val="10"/>
        <rFont val="微软雅黑"/>
        <charset val="134"/>
      </rPr>
      <t>【业火】</t>
    </r>
    <r>
      <rPr>
        <sz val="10"/>
        <rFont val="微软雅黑"/>
        <charset val="134"/>
      </rPr>
      <t xml:space="preserve">持续到你离开当前场景。
</t>
    </r>
    <r>
      <rPr>
        <b/>
        <sz val="10"/>
        <rFont val="微软雅黑"/>
        <charset val="134"/>
      </rPr>
      <t>【业火】</t>
    </r>
    <r>
      <rPr>
        <sz val="10"/>
        <rFont val="微软雅黑"/>
        <charset val="134"/>
      </rPr>
      <t>：【非瞬间效果】【正面】你施展武技造成【伤害】时，全部变为【火焰伤害】，你造成的【火焰伤害】会无视【火焰抗
性 3】。</t>
    </r>
  </si>
  <si>
    <t>合十双手突然绽开如莲花，地面涌出熔岩状火焰组成八瓣红莲，施术者足底出现烫伤水泡却浑然不觉。</t>
  </si>
  <si>
    <t>祖灵战歌</t>
  </si>
  <si>
    <r>
      <rPr>
        <sz val="10"/>
        <rFont val="微软雅黑"/>
        <charset val="134"/>
      </rPr>
      <t>·对自身造成</t>
    </r>
    <r>
      <rPr>
        <b/>
        <sz val="10"/>
        <rFont val="微软雅黑"/>
        <charset val="134"/>
      </rPr>
      <t>【战歌】</t>
    </r>
    <r>
      <rPr>
        <sz val="10"/>
        <rFont val="微软雅黑"/>
        <charset val="134"/>
      </rPr>
      <t xml:space="preserve">持续到你离开当前场景。
</t>
    </r>
    <r>
      <rPr>
        <b/>
        <sz val="10"/>
        <rFont val="微软雅黑"/>
        <charset val="134"/>
      </rPr>
      <t>【战歌】</t>
    </r>
    <r>
      <rPr>
        <sz val="10"/>
        <rFont val="微软雅黑"/>
        <charset val="134"/>
      </rPr>
      <t>：【非瞬间效果】【正面】你施展武技进行攻击检定成功时获得的【成功等级】数量增加 1 个，对你选择单一目标造成【战歌】，然后终止本效果。</t>
    </r>
  </si>
  <si>
    <t>用骨刀划破鼓面击打，每声鼓点都令范围内友方武器覆盖蓝光，施术者却不断掉落牙
齿。</t>
  </si>
  <si>
    <t>血月诅咒</t>
  </si>
  <si>
    <r>
      <rPr>
        <sz val="10"/>
        <rFont val="微软雅黑"/>
        <charset val="134"/>
      </rPr>
      <t>·对自身造成</t>
    </r>
    <r>
      <rPr>
        <b/>
        <sz val="10"/>
        <rFont val="微软雅黑"/>
        <charset val="134"/>
      </rPr>
      <t>【血咒主】</t>
    </r>
    <r>
      <rPr>
        <sz val="10"/>
        <rFont val="微软雅黑"/>
        <charset val="134"/>
      </rPr>
      <t xml:space="preserve">持续到你离开当前场景。
</t>
    </r>
    <r>
      <rPr>
        <b/>
        <sz val="10"/>
        <rFont val="微软雅黑"/>
        <charset val="134"/>
      </rPr>
      <t>【血咒主】</t>
    </r>
    <r>
      <rPr>
        <sz val="10"/>
        <rFont val="微软雅黑"/>
        <charset val="134"/>
      </rPr>
      <t>：【非瞬间效果】【正面】你的回合开始时，选择单一目标，对目标造成【湮灭伤害 3】。</t>
    </r>
  </si>
  <si>
    <t>将月长石按在第三只眼位置吟唱，目标头顶出现血色月牙标记，每次呼吸都伴随内脏撕裂痛感。</t>
  </si>
  <si>
    <t>瘟疫之舞</t>
  </si>
  <si>
    <r>
      <rPr>
        <sz val="10"/>
        <rFont val="微软雅黑"/>
        <charset val="134"/>
      </rPr>
      <t>·对自身造成</t>
    </r>
    <r>
      <rPr>
        <b/>
        <sz val="10"/>
        <rFont val="微软雅黑"/>
        <charset val="134"/>
      </rPr>
      <t>【瘟疫】</t>
    </r>
    <r>
      <rPr>
        <sz val="10"/>
        <rFont val="微软雅黑"/>
        <charset val="134"/>
      </rPr>
      <t xml:space="preserve">持续到你离开当前场景。
</t>
    </r>
    <r>
      <rPr>
        <b/>
        <sz val="10"/>
        <rFont val="微软雅黑"/>
        <charset val="134"/>
      </rPr>
      <t>【瘟疫】</t>
    </r>
    <r>
      <rPr>
        <sz val="10"/>
        <rFont val="微软雅黑"/>
        <charset val="134"/>
      </rPr>
      <t>：【非瞬间效果】【正面】你对自身和场景内所有生物造成【削弱防御 3】持续到【瘟疫】结束。</t>
    </r>
  </si>
  <si>
    <t>扭动肢体跳祭祀舞，周围弥漫黄绿色雾气，触碰者皮肤浮现天花状疱疹，舞者自己会持续流鼻血。</t>
  </si>
  <si>
    <t>骨卜反噬</t>
  </si>
  <si>
    <r>
      <rPr>
        <sz val="10"/>
        <rFont val="微软雅黑"/>
        <charset val="134"/>
      </rPr>
      <t>·对自身造成</t>
    </r>
    <r>
      <rPr>
        <b/>
        <sz val="10"/>
        <rFont val="微软雅黑"/>
        <charset val="134"/>
      </rPr>
      <t>【龟翳】</t>
    </r>
    <r>
      <rPr>
        <sz val="10"/>
        <rFont val="微软雅黑"/>
        <charset val="134"/>
      </rPr>
      <t xml:space="preserve">持续到你离开当前场景。
</t>
    </r>
    <r>
      <rPr>
        <b/>
        <sz val="10"/>
        <rFont val="微软雅黑"/>
        <charset val="134"/>
      </rPr>
      <t>【龟翳】</t>
    </r>
    <r>
      <rPr>
        <sz val="10"/>
        <rFont val="微软雅黑"/>
        <charset val="134"/>
      </rPr>
      <t>：【非瞬间效果】【正面】你进行攻击检定时无法激活标签，你的基础防御变为 20。</t>
    </r>
  </si>
  <si>
    <t>焚烧龟甲碎片吸入烟气，可预知敌人下一步动作，但双眼会暂时蒙上白翳。</t>
  </si>
  <si>
    <t>兵解飞剑</t>
  </si>
  <si>
    <r>
      <rPr>
        <sz val="10"/>
        <rFont val="微软雅黑"/>
        <charset val="134"/>
      </rPr>
      <t>·对自身造成</t>
    </r>
    <r>
      <rPr>
        <b/>
        <sz val="10"/>
        <rFont val="微软雅黑"/>
        <charset val="134"/>
      </rPr>
      <t>【兵解剑】</t>
    </r>
    <r>
      <rPr>
        <sz val="10"/>
        <rFont val="微软雅黑"/>
        <charset val="134"/>
      </rPr>
      <t xml:space="preserve">持续到你离开当前场景。
</t>
    </r>
    <r>
      <rPr>
        <b/>
        <sz val="10"/>
        <rFont val="微软雅黑"/>
        <charset val="134"/>
      </rPr>
      <t>【兵解剑】</t>
    </r>
    <r>
      <rPr>
        <sz val="10"/>
        <rFont val="微软雅黑"/>
        <charset val="134"/>
      </rPr>
      <t>：【非瞬间效果】【正面】你施展武技进行攻击检定时目标不能选择反击，但你施展武技时会对自身造成【湮灭伤害 1】。</t>
    </r>
  </si>
  <si>
    <t>吞下符纸后从百会穴射出青光剑气，但每道剑气都会带走施术者部分记忆。</t>
  </si>
  <si>
    <t>挪转术</t>
  </si>
  <si>
    <r>
      <rPr>
        <sz val="10"/>
        <rFont val="微软雅黑"/>
        <charset val="134"/>
      </rPr>
      <t>·你可以指定在一定范围内（场景内的一小处区域）的一个物体或生物，你和他交换位置。
·对自身造成</t>
    </r>
    <r>
      <rPr>
        <b/>
        <sz val="10"/>
        <rFont val="微软雅黑"/>
        <charset val="134"/>
      </rPr>
      <t>【救助】</t>
    </r>
    <r>
      <rPr>
        <sz val="10"/>
        <rFont val="微软雅黑"/>
        <charset val="134"/>
      </rPr>
      <t xml:space="preserve">。
</t>
    </r>
    <r>
      <rPr>
        <b/>
        <sz val="10"/>
        <rFont val="微软雅黑"/>
        <charset val="134"/>
      </rPr>
      <t>【救助】：</t>
    </r>
    <r>
      <rPr>
        <sz val="10"/>
        <rFont val="微软雅黑"/>
        <charset val="134"/>
      </rPr>
      <t>【非瞬间效果】【正面】其他生物受到的【伤害】生效时，你可以消耗至多 6 点灵力点，每消耗 2 点灵力点，使目标被减少的生命值降低 1 点。</t>
    </r>
  </si>
  <si>
    <t>以灵力扭曲空间，可与他人移形换位，救人于危难。</t>
  </si>
  <si>
    <t>霞光击</t>
  </si>
  <si>
    <r>
      <rPr>
        <sz val="10"/>
        <rFont val="微软雅黑"/>
        <charset val="134"/>
      </rPr>
      <t>·对目标造成</t>
    </r>
    <r>
      <rPr>
        <b/>
        <sz val="10"/>
        <rFont val="微软雅黑"/>
        <charset val="134"/>
      </rPr>
      <t>【霞光】</t>
    </r>
    <r>
      <rPr>
        <sz val="10"/>
        <rFont val="微软雅黑"/>
        <charset val="134"/>
      </rPr>
      <t xml:space="preserve">持续到你离开当前场景。
</t>
    </r>
    <r>
      <rPr>
        <b/>
        <sz val="10"/>
        <rFont val="微软雅黑"/>
        <charset val="134"/>
      </rPr>
      <t>【霞光】</t>
    </r>
    <r>
      <rPr>
        <sz val="10"/>
        <rFont val="微软雅黑"/>
        <charset val="134"/>
      </rPr>
      <t>：【非瞬间效果】【正面】你进行的下次攻击检定未成功时，对你造成【灵识伤害 3】，然后终止该效果。</t>
    </r>
  </si>
  <si>
    <t>将绚丽却危险的霞光附于敌身，霞光万丈，步步杀机。</t>
  </si>
  <si>
    <t>阴封咒</t>
  </si>
  <si>
    <t>·目标一定是【魂魄】生物，将一个被击败的【魂魄】生物临时封印到一个小型物件之中，可以与该鬼魂交流，但无法伤害别人/使用灵能力/施展术法。封印者必须降低 2点灵力最大值以保持封印，否则该封印解除。</t>
  </si>
  <si>
    <t>将战败鬼魂封入小物件，封印期间可交流但限制其能力。</t>
  </si>
  <si>
    <t>热狂术</t>
  </si>
  <si>
    <r>
      <rPr>
        <sz val="10"/>
        <rFont val="微软雅黑"/>
        <charset val="134"/>
      </rPr>
      <t>·对目标造成</t>
    </r>
    <r>
      <rPr>
        <b/>
        <sz val="10"/>
        <rFont val="微软雅黑"/>
        <charset val="134"/>
      </rPr>
      <t>【狂热】</t>
    </r>
    <r>
      <rPr>
        <sz val="10"/>
        <rFont val="微软雅黑"/>
        <charset val="134"/>
      </rPr>
      <t xml:space="preserve">持续到你离开当前场景。
</t>
    </r>
    <r>
      <rPr>
        <b/>
        <sz val="10"/>
        <rFont val="微软雅黑"/>
        <charset val="134"/>
      </rPr>
      <t>【狂热】</t>
    </r>
    <r>
      <rPr>
        <sz val="10"/>
        <rFont val="微软雅黑"/>
        <charset val="134"/>
      </rPr>
      <t>：【非瞬间效果】你的武技强度+1。</t>
    </r>
  </si>
  <si>
    <t>点燃目标战意使其陷入狂热，死战不退，生者为王。</t>
  </si>
  <si>
    <t>扶褉术</t>
  </si>
  <si>
    <t>·目标进行一次狩魂学识检定。若成功且【成功等级】≥（6－你的智慧属性强度），将招来一个超自然存在并与其共鸣，其他盟友可以通过你来与该存在进行交谈。盟友也可以消耗 1 点灵力来然后询问该存在一个问题。
·超自然存在可能会视心情好坏而给出清晰或模糊的回答，但答案不会是错误的。盟友最多这样询问该存在 3 个问题，然后该术法终止</t>
  </si>
  <si>
    <t>以自身学识沟通异界存在，叩问三道天机，但言语往往难以捉摸。</t>
  </si>
  <si>
    <t>霞飞炎</t>
  </si>
  <si>
    <t>·进行的攻击检定获得 2 枚加骰。检定成功时，对目标造成【火焰伤害 8】。</t>
  </si>
  <si>
    <t>凝聚磅礴霞炎之力轰击目标，霞光所到之地，赤地千里，寸草不生。</t>
  </si>
  <si>
    <t>霞炎破</t>
  </si>
  <si>
    <r>
      <rPr>
        <sz val="10"/>
        <rFont val="微软雅黑"/>
        <charset val="134"/>
      </rPr>
      <t>·对自身造成</t>
    </r>
    <r>
      <rPr>
        <b/>
        <sz val="10"/>
        <rFont val="微软雅黑"/>
        <charset val="134"/>
      </rPr>
      <t>【高热】</t>
    </r>
    <r>
      <rPr>
        <sz val="10"/>
        <rFont val="微软雅黑"/>
        <charset val="134"/>
      </rPr>
      <t xml:space="preserve">。
</t>
    </r>
    <r>
      <rPr>
        <b/>
        <sz val="10"/>
        <rFont val="微软雅黑"/>
        <charset val="134"/>
      </rPr>
      <t>【高热】</t>
    </r>
    <r>
      <rPr>
        <sz val="10"/>
        <rFont val="微软雅黑"/>
        <charset val="134"/>
      </rPr>
      <t>：【非瞬间效果】【正面】你选择目标施展的攻击检定成功时，对目标造成【火焰伤害 2】。</t>
    </r>
  </si>
  <si>
    <t>引炽热霞炎之力缠身，一行一动皆如火神降世。</t>
  </si>
  <si>
    <t>雹坠</t>
  </si>
  <si>
    <t>9点灵力值</t>
  </si>
  <si>
    <t>·进行的攻击检定获得 2 枚加骰。检定成功时，对目标造成【冰霜伤害 8】+【减少灵力 4】。</t>
  </si>
  <si>
    <t>以灵力沟通天地水汽，化为极寒冰雹，如九幽寒狱镇压。</t>
  </si>
  <si>
    <t>电闪</t>
  </si>
  <si>
    <r>
      <rPr>
        <sz val="10"/>
        <rFont val="微软雅黑"/>
        <charset val="134"/>
      </rPr>
      <t>·检定成功时，对目标造成</t>
    </r>
    <r>
      <rPr>
        <b/>
        <sz val="10"/>
        <rFont val="微软雅黑"/>
        <charset val="134"/>
      </rPr>
      <t>【目盲】</t>
    </r>
    <r>
      <rPr>
        <sz val="10"/>
        <rFont val="微软雅黑"/>
        <charset val="134"/>
      </rPr>
      <t xml:space="preserve">。
</t>
    </r>
    <r>
      <rPr>
        <b/>
        <sz val="10"/>
        <rFont val="微软雅黑"/>
        <charset val="134"/>
      </rPr>
      <t>【目盲】</t>
    </r>
    <r>
      <rPr>
        <sz val="10"/>
        <rFont val="微软雅黑"/>
        <charset val="134"/>
      </rPr>
      <t>：【非瞬间效果】【负面】你无法对非自身的目标施展武技，其他生物对你进行的攻击检定获得 1 枚加骰。</t>
    </r>
  </si>
  <si>
    <t>释放刺目电光直击目标，炫光夺目，电光火石之间，取敌人于手下。</t>
  </si>
  <si>
    <t>烈光炮</t>
  </si>
  <si>
    <t>·进行的攻击检定获得 2 枚加骰。检定成功时，对目标造成【灵识伤害 6】。</t>
  </si>
  <si>
    <t>汇聚纯粹心魂能量聚焦于手中，向目标激射出一道夺目的光波，无物不贯，无物不穿。</t>
  </si>
  <si>
    <t>天罗地网</t>
  </si>
  <si>
    <r>
      <rPr>
        <sz val="10"/>
        <rFont val="微软雅黑"/>
        <charset val="134"/>
      </rPr>
      <t>·你对场景以灵能编织一个网状搜索圈，你可以感知到该场景内的事物的变化以及生物的位置，直到你离开该场景。
·在该场景中，你进行调查检定获得 2 枚加骰。
·当持有明显敌意的生物出现在该场景开始作祟，又或是场景内出现了有敌意的行为时，你会感受到一阵震动。你可以在进入战斗场景后立即对其执行行动，如果该行动进行的攻击检定成功并对目标造成【伤害】时，对目标造成</t>
    </r>
    <r>
      <rPr>
        <b/>
        <sz val="10"/>
        <rFont val="微软雅黑"/>
        <charset val="134"/>
      </rPr>
      <t>【压制】</t>
    </r>
    <r>
      <rPr>
        <sz val="10"/>
        <rFont val="微软雅黑"/>
        <charset val="134"/>
      </rPr>
      <t xml:space="preserve">。
</t>
    </r>
    <r>
      <rPr>
        <b/>
        <sz val="10"/>
        <rFont val="微软雅黑"/>
        <charset val="134"/>
      </rPr>
      <t>【压制】</t>
    </r>
    <r>
      <rPr>
        <sz val="10"/>
        <rFont val="微软雅黑"/>
        <charset val="134"/>
      </rPr>
      <t>：【非瞬间效果】【负面】你无法执行行动，直接结束回合。</t>
    </r>
  </si>
  <si>
    <t>以灵力织就感知巨网覆盖场景。可洞察万物位置变化，如同在蛛网之上暗藏于角落的杀手。</t>
  </si>
  <si>
    <t>雷祖召来</t>
  </si>
  <si>
    <r>
      <rPr>
        <sz val="10"/>
        <rFont val="微软雅黑"/>
        <charset val="134"/>
      </rPr>
      <t>·对自身造成</t>
    </r>
    <r>
      <rPr>
        <b/>
        <sz val="10"/>
        <rFont val="微软雅黑"/>
        <charset val="134"/>
      </rPr>
      <t>【雷祖】</t>
    </r>
    <r>
      <rPr>
        <sz val="10"/>
        <rFont val="微软雅黑"/>
        <charset val="134"/>
      </rPr>
      <t xml:space="preserve">持续到你离开当前场景。
</t>
    </r>
    <r>
      <rPr>
        <b/>
        <sz val="10"/>
        <rFont val="微软雅黑"/>
        <charset val="134"/>
      </rPr>
      <t>【雷祖】</t>
    </r>
    <r>
      <rPr>
        <sz val="10"/>
        <rFont val="微软雅黑"/>
        <charset val="134"/>
      </rPr>
      <t>：【非瞬间效果】你施展的武技造成【伤害】时，全部变为【雷电伤害】，你造成的【雷电伤害】会无视【雷电抗性】。</t>
    </r>
  </si>
  <si>
    <t>用铜钱剑指天画雷纹，乌云中劈下青色闪电链，施术者须发倒竖如刺猬。</t>
  </si>
  <si>
    <t>雪狼魂</t>
  </si>
  <si>
    <r>
      <rPr>
        <sz val="10"/>
        <rFont val="微软雅黑"/>
        <charset val="134"/>
      </rPr>
      <t>·对自身造成</t>
    </r>
    <r>
      <rPr>
        <b/>
        <sz val="10"/>
        <rFont val="微软雅黑"/>
        <charset val="134"/>
      </rPr>
      <t>【雪狼魂】</t>
    </r>
    <r>
      <rPr>
        <sz val="10"/>
        <rFont val="微软雅黑"/>
        <charset val="134"/>
      </rPr>
      <t xml:space="preserve">持续到你离开当前场景。
</t>
    </r>
    <r>
      <rPr>
        <b/>
        <sz val="10"/>
        <rFont val="微软雅黑"/>
        <charset val="134"/>
      </rPr>
      <t>【雪狼魂】</t>
    </r>
    <r>
      <rPr>
        <sz val="10"/>
        <rFont val="微软雅黑"/>
        <charset val="134"/>
      </rPr>
      <t>：【非瞬间效果】你施展武技【常规攻击】额外造成【冰霜伤害 4】，且造成的伤害无视目标的【冰霜抗性】。</t>
    </r>
  </si>
  <si>
    <t>仰天长嚎后进入狼化状态，指甲伸长如利爪，攻击带冻伤效果，结束后会短暂丧失味
觉。</t>
  </si>
  <si>
    <t>盂兰鬼门</t>
  </si>
  <si>
    <r>
      <rPr>
        <sz val="10"/>
        <rFont val="微软雅黑"/>
        <charset val="134"/>
      </rPr>
      <t>·对自身造成</t>
    </r>
    <r>
      <rPr>
        <b/>
        <sz val="10"/>
        <rFont val="微软雅黑"/>
        <charset val="134"/>
      </rPr>
      <t>【鬼敲门】</t>
    </r>
    <r>
      <rPr>
        <sz val="10"/>
        <rFont val="微软雅黑"/>
        <charset val="134"/>
      </rPr>
      <t xml:space="preserve">持续到你离开当前场景。
</t>
    </r>
    <r>
      <rPr>
        <b/>
        <sz val="10"/>
        <rFont val="微软雅黑"/>
        <charset val="134"/>
      </rPr>
      <t>【鬼敲门】</t>
    </r>
    <r>
      <rPr>
        <sz val="10"/>
        <rFont val="微软雅黑"/>
        <charset val="134"/>
      </rPr>
      <t>：【非瞬间效果】【正面】你的术法造成【伤害】时，额外造成【湮灭伤害 4】，单个轮次中你只能累积造成 2 次该【伤害】。</t>
    </r>
  </si>
  <si>
    <t>倒扣钵盂旋转，地面裂开伸出无数鬼手拉扯，钵体表面迅速覆盖霉斑。</t>
  </si>
  <si>
    <t>形意八极</t>
  </si>
  <si>
    <r>
      <rPr>
        <sz val="10"/>
        <rFont val="微软雅黑"/>
        <charset val="134"/>
      </rPr>
      <t>·对自身造成</t>
    </r>
    <r>
      <rPr>
        <b/>
        <sz val="10"/>
        <rFont val="微软雅黑"/>
        <charset val="134"/>
      </rPr>
      <t>【八极魂】</t>
    </r>
    <r>
      <rPr>
        <sz val="10"/>
        <rFont val="微软雅黑"/>
        <charset val="134"/>
      </rPr>
      <t xml:space="preserve">持续到事件结束。
</t>
    </r>
    <r>
      <rPr>
        <b/>
        <sz val="10"/>
        <rFont val="微软雅黑"/>
        <charset val="134"/>
      </rPr>
      <t>【八极魂】</t>
    </r>
    <r>
      <rPr>
        <sz val="10"/>
        <rFont val="微软雅黑"/>
        <charset val="134"/>
      </rPr>
      <t>：【非瞬间效果】【正面】你从武技【形意·龙形崩山靠】，武技【形意·虎扑炮锤】，武技【形意·熊形震地跺】，武技【形意·鹰捉劈挂】，武技【形意·崩拳雷霆贯】，武技【形意·蛇形缠丝劲】，武技【形意·马形冲阵步】，武技【形意·鼍形翻浪劲】，武技【形意·鹞子钻天炮】，武技【形意·五行连环炮】中选择一项暂时获得之，持续到该效果结束。</t>
    </r>
  </si>
  <si>
    <t>以形意拳的“五行十二形”为变化根基，结合八极拳“崩撼突击、硬开硬打”的爆发力，形成刚柔并济、短距致命的实战技法。</t>
  </si>
  <si>
    <t>三尸神暴走</t>
  </si>
  <si>
    <r>
      <rPr>
        <sz val="10"/>
        <rFont val="微软雅黑"/>
        <charset val="134"/>
      </rPr>
      <t>·对自身造成</t>
    </r>
    <r>
      <rPr>
        <b/>
        <sz val="10"/>
        <rFont val="微软雅黑"/>
        <charset val="134"/>
      </rPr>
      <t>【暴走】</t>
    </r>
    <r>
      <rPr>
        <sz val="10"/>
        <rFont val="微软雅黑"/>
        <charset val="134"/>
      </rPr>
      <t xml:space="preserve">持续到你离开当前场景。
</t>
    </r>
    <r>
      <rPr>
        <b/>
        <sz val="10"/>
        <rFont val="微软雅黑"/>
        <charset val="134"/>
      </rPr>
      <t>【暴走】</t>
    </r>
    <r>
      <rPr>
        <sz val="10"/>
        <rFont val="微软雅黑"/>
        <charset val="134"/>
      </rPr>
      <t>：【非瞬间效果】【正面】你执行行动施展武技【常规攻击】造成的效果变为：
·检定成功时，对目标造成【物理伤害】+【物理伤害】+【物理伤害】。</t>
    </r>
  </si>
  <si>
    <t>猛捶丹田三下，喷出的血雾形成三个迷你人形疯狂撕咬敌人，施术者却露出诡异微笑。</t>
  </si>
  <si>
    <t>六字大明遁</t>
  </si>
  <si>
    <r>
      <rPr>
        <sz val="10"/>
        <rFont val="微软雅黑"/>
        <charset val="134"/>
      </rPr>
      <t>·对自身造成</t>
    </r>
    <r>
      <rPr>
        <b/>
        <sz val="10"/>
        <rFont val="微软雅黑"/>
        <charset val="134"/>
      </rPr>
      <t>【大明遁】</t>
    </r>
    <r>
      <rPr>
        <sz val="10"/>
        <rFont val="微软雅黑"/>
        <charset val="134"/>
      </rPr>
      <t xml:space="preserve">持续到你离开当前场景。
</t>
    </r>
    <r>
      <rPr>
        <b/>
        <sz val="10"/>
        <rFont val="微软雅黑"/>
        <charset val="134"/>
      </rPr>
      <t>【大明遁】</t>
    </r>
    <r>
      <rPr>
        <sz val="10"/>
        <rFont val="微软雅黑"/>
        <charset val="134"/>
      </rPr>
      <t>：【非瞬间效果】【正面】你施展的祷诀消耗的灵力值减少 2 点。</t>
    </r>
  </si>
  <si>
    <t>每念一字踏出一步，第六步时身形化作彩虹流光，残留的转经筒虚影持续干扰追踪法
术。</t>
  </si>
  <si>
    <t>熊神之力</t>
  </si>
  <si>
    <r>
      <rPr>
        <sz val="10"/>
        <rFont val="微软雅黑"/>
        <charset val="134"/>
      </rPr>
      <t>·对自身造成</t>
    </r>
    <r>
      <rPr>
        <b/>
        <sz val="10"/>
        <rFont val="微软雅黑"/>
        <charset val="134"/>
      </rPr>
      <t>【冰爪护】</t>
    </r>
    <r>
      <rPr>
        <sz val="10"/>
        <rFont val="微软雅黑"/>
        <charset val="134"/>
      </rPr>
      <t xml:space="preserve">持续到你离开当前场景。
</t>
    </r>
    <r>
      <rPr>
        <b/>
        <sz val="10"/>
        <rFont val="微软雅黑"/>
        <charset val="134"/>
      </rPr>
      <t>【冰爪护】</t>
    </r>
    <r>
      <rPr>
        <sz val="10"/>
        <rFont val="微软雅黑"/>
        <charset val="134"/>
      </rPr>
      <t>：【非瞬间效果】【正面】你施展的武技造成【伤害】时，全部变为【冰霜伤害】，你造成的【冰霜伤害】会无视所有【冰霜抗性】。</t>
    </r>
  </si>
  <si>
    <t>生吞熊胆后体型暴涨，攻击附带冰霜效果，但毛发会不可逆地变成白色。</t>
  </si>
  <si>
    <t>阴兵借道</t>
  </si>
  <si>
    <t>8点灵力值</t>
  </si>
  <si>
    <r>
      <rPr>
        <sz val="10"/>
        <rFont val="微软雅黑"/>
        <charset val="134"/>
      </rPr>
      <t>·对自身造成</t>
    </r>
    <r>
      <rPr>
        <b/>
        <sz val="10"/>
        <rFont val="微软雅黑"/>
        <charset val="134"/>
      </rPr>
      <t>【兵主】</t>
    </r>
    <r>
      <rPr>
        <sz val="10"/>
        <rFont val="微软雅黑"/>
        <charset val="134"/>
      </rPr>
      <t xml:space="preserve">持续到你离开当前场景。
</t>
    </r>
    <r>
      <rPr>
        <b/>
        <sz val="10"/>
        <rFont val="微软雅黑"/>
        <charset val="134"/>
      </rPr>
      <t>【兵主】</t>
    </r>
    <r>
      <rPr>
        <sz val="10"/>
        <rFont val="微软雅黑"/>
        <charset val="134"/>
      </rPr>
      <t>：【非瞬间效果】【正面】你的回合开始时，对你选择的若干目标造成【物理伤害 4】。</t>
    </r>
  </si>
  <si>
    <t>撕碎写有"敕令"的紫符，裂缝中冲出半透明阴兵，途经处草木瞬间枯黄，施术者指甲盖全部翻起。</t>
  </si>
  <si>
    <t>北斗封魔钉</t>
  </si>
  <si>
    <r>
      <rPr>
        <sz val="10"/>
        <rFont val="微软雅黑"/>
        <charset val="134"/>
      </rPr>
      <t>·对自身造成</t>
    </r>
    <r>
      <rPr>
        <b/>
        <sz val="10"/>
        <rFont val="微软雅黑"/>
        <charset val="134"/>
      </rPr>
      <t>【天罡】</t>
    </r>
    <r>
      <rPr>
        <sz val="10"/>
        <rFont val="微软雅黑"/>
        <charset val="134"/>
      </rPr>
      <t xml:space="preserve">持续到你离开当前场景。
</t>
    </r>
    <r>
      <rPr>
        <b/>
        <sz val="10"/>
        <rFont val="微软雅黑"/>
        <charset val="134"/>
      </rPr>
      <t>【天罡】</t>
    </r>
    <r>
      <rPr>
        <sz val="10"/>
        <rFont val="微软雅黑"/>
        <charset val="134"/>
      </rPr>
      <t>：【非瞬间效果】【正面】你对同一目标施展武技造成【伤害】生效 7 次时，对目标造成【湮灭伤害 20】。</t>
    </r>
  </si>
  <si>
    <t>连续七步踩出北斗阵型，袖中射出七枚铜钉将敌人影子钉住，铜钉尾部不断滴落水银状物质。</t>
  </si>
  <si>
    <t>血傩替身咒</t>
  </si>
  <si>
    <r>
      <rPr>
        <sz val="10"/>
        <rFont val="微软雅黑"/>
        <charset val="134"/>
      </rPr>
      <t>·对自身造成</t>
    </r>
    <r>
      <rPr>
        <b/>
        <sz val="10"/>
        <rFont val="微软雅黑"/>
        <charset val="134"/>
      </rPr>
      <t>【血傩替身】</t>
    </r>
    <r>
      <rPr>
        <sz val="10"/>
        <rFont val="微软雅黑"/>
        <charset val="134"/>
      </rPr>
      <t xml:space="preserve">持续到你离开当前场景。
</t>
    </r>
    <r>
      <rPr>
        <b/>
        <sz val="10"/>
        <rFont val="微软雅黑"/>
        <charset val="134"/>
      </rPr>
      <t>【血傩替身】</t>
    </r>
    <r>
      <rPr>
        <sz val="10"/>
        <rFont val="微软雅黑"/>
        <charset val="134"/>
      </rPr>
      <t>：【非瞬间效果】【正面】你获得【物理免疫】持续到你下次受到【物理伤害】，你下次受到【物理伤害】会对伤害来源目标造成同样效果等级的【物理伤害】，然后终止本效果。</t>
    </r>
  </si>
  <si>
    <t>将稻草人浸入自身鲜血后抛向目标，二者位置互换时空中闪过十二道血色傩面虚影。</t>
  </si>
  <si>
    <t>鹰灵附体</t>
  </si>
  <si>
    <r>
      <rPr>
        <sz val="10"/>
        <rFont val="微软雅黑"/>
        <charset val="134"/>
      </rPr>
      <t>·对自身造成</t>
    </r>
    <r>
      <rPr>
        <b/>
        <sz val="10"/>
        <rFont val="微软雅黑"/>
        <charset val="134"/>
      </rPr>
      <t>【鹰之力】</t>
    </r>
    <r>
      <rPr>
        <sz val="10"/>
        <rFont val="微软雅黑"/>
        <charset val="134"/>
      </rPr>
      <t xml:space="preserve">持续到你离开当前场景。
</t>
    </r>
    <r>
      <rPr>
        <b/>
        <sz val="10"/>
        <rFont val="微软雅黑"/>
        <charset val="134"/>
      </rPr>
      <t>【鹰之力】</t>
    </r>
    <r>
      <rPr>
        <sz val="10"/>
        <rFont val="微软雅黑"/>
        <charset val="134"/>
      </rPr>
      <t>：【非瞬间效果】【正面】你施展武技造成【物理伤害】时额外造成【物理伤害3】。</t>
    </r>
  </si>
  <si>
    <t>反手抓挠胸口至见血痕，背后浮现巨鹰光影。接下来的攻击会带出羽毛状能量刃，但施术者瞳孔会变成竖瞳。</t>
  </si>
  <si>
    <t>八门遁甲阵</t>
  </si>
  <si>
    <t>阵法</t>
  </si>
  <si>
    <r>
      <rPr>
        <sz val="10"/>
        <rFont val="微软雅黑"/>
        <charset val="134"/>
      </rPr>
      <t>·检定成功时，造成</t>
    </r>
    <r>
      <rPr>
        <b/>
        <sz val="10"/>
        <rFont val="微软雅黑"/>
        <charset val="134"/>
      </rPr>
      <t>【封锁 X】</t>
    </r>
    <r>
      <rPr>
        <sz val="10"/>
        <rFont val="微软雅黑"/>
        <charset val="134"/>
      </rPr>
      <t xml:space="preserve">持续到你离开当前场景。
·消耗额外灵力值为 0 时：X=1
·消耗额外灵力值为 2 时：X=2
·消耗额外灵力值为 4 时：X=3
·消耗额外灵力值为 6 时：X=4
</t>
    </r>
    <r>
      <rPr>
        <b/>
        <sz val="10"/>
        <rFont val="微软雅黑"/>
        <charset val="134"/>
      </rPr>
      <t>【封锁 X】</t>
    </r>
    <r>
      <rPr>
        <sz val="10"/>
        <rFont val="微软雅黑"/>
        <charset val="134"/>
      </rPr>
      <t>：【非瞬间效果】【负面】你进行行动检定时获得 X 点减值。</t>
    </r>
  </si>
  <si>
    <t>八卦阵以阴阳八卦为基，八门轮转，生死变幻。布阵者以桃木定方位，朱砂连阵眼，铜镜摄魂光。踏禹步，诵真言，阵成则迷雾四起，困敌于虚实之间。然生门若闭，天地反噬，布阵者必遭厄难。此阵暗合天道，非通晓易理者不可轻用。</t>
  </si>
  <si>
    <t>五芒星阵</t>
  </si>
  <si>
    <r>
      <rPr>
        <sz val="10"/>
        <rFont val="微软雅黑"/>
        <charset val="134"/>
      </rPr>
      <t>·对选择的目标造成</t>
    </r>
    <r>
      <rPr>
        <b/>
        <sz val="10"/>
        <rFont val="微软雅黑"/>
        <charset val="134"/>
      </rPr>
      <t>【恶魔契约 X】</t>
    </r>
    <r>
      <rPr>
        <sz val="10"/>
        <rFont val="微软雅黑"/>
        <charset val="134"/>
      </rPr>
      <t xml:space="preserve">持续到你离开当前场景+对自身造成【湮灭伤害 X】+【湮灭伤害 X】。
·消耗额外灵力值为 0 时：X=1
·消耗额外灵力值为 4 时：X=2
·消耗额外灵力值为 8 时：X=3
·消耗额外灵力值为 12 时：X=4
</t>
    </r>
    <r>
      <rPr>
        <b/>
        <sz val="10"/>
        <rFont val="微软雅黑"/>
        <charset val="134"/>
      </rPr>
      <t>【恶魔契约 X】</t>
    </r>
    <r>
      <rPr>
        <sz val="10"/>
        <rFont val="微软雅黑"/>
        <charset val="134"/>
      </rPr>
      <t>：【非瞬间效果】【正面】你进行行动检定成功时，额外获得 X 个【成功等级】。</t>
    </r>
  </si>
  <si>
    <t>五芒星乃西方秘术根基，正逆双生。盐圈护体，五色烛燃元素之力。正星守，逆星召，血咒启时，恶魔低语。然契约无常，一念之差，施术者反成祭品。</t>
  </si>
  <si>
    <t>奇门遁甲阵</t>
  </si>
  <si>
    <r>
      <rPr>
        <sz val="10"/>
        <rFont val="微软雅黑"/>
        <charset val="134"/>
      </rPr>
      <t>·你对自身造成</t>
    </r>
    <r>
      <rPr>
        <b/>
        <sz val="10"/>
        <rFont val="微软雅黑"/>
        <charset val="134"/>
      </rPr>
      <t>【阴阳八卦 X】</t>
    </r>
    <r>
      <rPr>
        <sz val="10"/>
        <rFont val="微软雅黑"/>
        <charset val="134"/>
      </rPr>
      <t xml:space="preserve">持续到你离开当前场景。
</t>
    </r>
    <r>
      <rPr>
        <b/>
        <sz val="10"/>
        <rFont val="微软雅黑"/>
        <charset val="134"/>
      </rPr>
      <t>【阴阳八卦 X】</t>
    </r>
    <r>
      <rPr>
        <sz val="10"/>
        <rFont val="微软雅黑"/>
        <charset val="134"/>
      </rPr>
      <t>：【非瞬间效果】【正面】你指名 X 个不同的通用效果，在当前场景中任意生物造成指名的【效果】时，【效果】会增加 1 级。
·消耗额外灵力值为 0 时：X=1
·消耗额外灵力值为 5 时：X=2
·消耗额外灵力值为 10 时：X=3
·消耗额外灵力值为 15 时：X=4</t>
    </r>
  </si>
  <si>
    <t>奇门遁甲，变化无穷。九宫飞星，隐遁万象，时辰轮转，阵势万千。遁甲盘推演天机。然天机难测，一步错，满盘皆输。</t>
  </si>
  <si>
    <t>天罡北斗阵</t>
  </si>
  <si>
    <t>7点灵力值</t>
  </si>
  <si>
    <t>·检定成功时，对目标 X 次造成【物理伤害 1】。
·消耗额外灵力值为 0 时：X=7
·消耗额外灵力值为 14 时：X=14</t>
  </si>
  <si>
    <t>天罡北斗，七星连珠。与阵修士各持一剑，按星位站立，踏罡步斗间剑气纵横。阵成则众人如一体，攻守兼备。然若一人失位，七星错乱，剑气反噬，众人皆伤。</t>
  </si>
  <si>
    <t>西乌洛波洛斯炼成阵</t>
  </si>
  <si>
    <t>1~5个
目标</t>
  </si>
  <si>
    <t>·对选择的目标造成【造物 X】。
·消耗额外灵力值为 0 时：X=1
·消耗额外灵力值为 5 时：X=2
·消耗额外灵力值为 10 时：X=3</t>
  </si>
  <si>
    <t>此阵以衔尾蛇象征物质永恒循环，通过行星力量引导元素转化，代表炼金术的无限循环，即物质的分解与重组。</t>
  </si>
  <si>
    <t>曼陀罗阵</t>
  </si>
  <si>
    <t>·对自愿的目标造成【清除效果 X】。
·消耗额外灵力值为 0 时：X=2
·消耗额外灵力值为 5 时：X=4
·消耗额外灵力值为 10 时：X=6
·消耗额外灵力值为 15 时：X=8</t>
  </si>
  <si>
    <t>宇宙之轮，梵音真言。金箔刻咒，金刚杵镇邪，藏红花绘神图。冥想入定，心魔退散，然一笔之差，能量逆冲，走火入魔。</t>
  </si>
  <si>
    <t>撒豆成兵阵</t>
  </si>
  <si>
    <r>
      <rPr>
        <sz val="10"/>
        <rFont val="微软雅黑"/>
        <charset val="134"/>
      </rPr>
      <t>·对自身造成</t>
    </r>
    <r>
      <rPr>
        <b/>
        <sz val="10"/>
        <rFont val="微软雅黑"/>
        <charset val="134"/>
      </rPr>
      <t>【豆兵 X】</t>
    </r>
    <r>
      <rPr>
        <sz val="10"/>
        <rFont val="微软雅黑"/>
        <charset val="134"/>
      </rPr>
      <t xml:space="preserve">持续到你离开当前场景。
·消耗额外灵力值为 0 时：X=2
·消耗额外灵力值为 6 时：X=4
·消耗额外灵力值为 12 时：X=6
·消耗额外灵力值为 18 时：X=8
</t>
    </r>
    <r>
      <rPr>
        <b/>
        <sz val="10"/>
        <rFont val="微软雅黑"/>
        <charset val="134"/>
      </rPr>
      <t>【豆兵 X】</t>
    </r>
    <r>
      <rPr>
        <sz val="10"/>
        <rFont val="微软雅黑"/>
        <charset val="134"/>
      </rPr>
      <t>：【非瞬间效果】【正面】你可以消耗一层豆兵，减少其他生物进行行动检定时获得的 1 个成功等级，你可以在一次行动检定中多次消耗该效果的层数。</t>
    </r>
  </si>
  <si>
    <t>黄豆浸符水，铜锣震天响。撒豆成兵，幻影万千。然鸡鸣破法，黑狗血污，顷刻烟消云散。</t>
  </si>
  <si>
    <t>四象阵</t>
  </si>
  <si>
    <t>1~X个
目标</t>
  </si>
  <si>
    <r>
      <rPr>
        <sz val="10"/>
        <rFont val="微软雅黑"/>
        <charset val="134"/>
      </rPr>
      <t>·对目标造成</t>
    </r>
    <r>
      <rPr>
        <b/>
        <sz val="10"/>
        <rFont val="微软雅黑"/>
        <charset val="134"/>
      </rPr>
      <t>【四象】</t>
    </r>
    <r>
      <rPr>
        <sz val="10"/>
        <rFont val="微软雅黑"/>
        <charset val="134"/>
      </rPr>
      <t xml:space="preserve">持续到你离开当前场景。
·消耗额外灵力值为 0 时：X=1
·消耗额外灵力值为 3 时：X=2
·消耗额外灵力值为 6 时：X=3
·消耗额外灵力值为 9 时：X=4
</t>
    </r>
    <r>
      <rPr>
        <b/>
        <sz val="10"/>
        <rFont val="微软雅黑"/>
        <charset val="134"/>
      </rPr>
      <t>【四象】</t>
    </r>
    <r>
      <rPr>
        <sz val="10"/>
        <rFont val="微软雅黑"/>
        <charset val="134"/>
      </rPr>
      <t>：【非瞬间效果】【正面】你造成单个【伤害】时，你可以选择把该伤害全部转化成【冰霜伤害】、【火焰伤害】、【雷电伤害】或【物理伤害】，如果转化成【物理伤害】还会使该【物理伤害】增加 2 级。</t>
    </r>
  </si>
  <si>
    <t>青龙白虎，朱雀玄武。四神镇四方，五行砂画界，青铜铃驱邪。然神像未开光，徒有其形，邪祟长驱直入。</t>
  </si>
  <si>
    <t>所罗门六芒星阵</t>
  </si>
  <si>
    <t>·检定成功时，如果目标为【恶魔】，造成【湮灭伤害 X】
·消耗额外灵力值为 0 时：X=8
·消耗额外灵力值为 4 时：X=13
·消耗额外灵力值为 8 时：X=18
·消耗额外灵力值为 12 时：X=23</t>
  </si>
  <si>
    <t>六芒星现，神名昭昭。银匕划界，圣油燃光，封印恶魔于阵中。然真名念错，伪天使降世，灾祸临头。</t>
  </si>
  <si>
    <t>德鲁伊树阵</t>
  </si>
  <si>
    <t>·对选择的目标造成【恢复 X】
·消耗额外灵力值为 0 时：X=1
·消耗额外灵力值为 6 时：X=2
·消耗额外灵力值为 12 时：X=3
·消耗额外灵力值为 18 时：X=4</t>
  </si>
  <si>
    <t>三重螺旋，圣树为媒。槲寄生悬，骨笛唤灵，月下舞祭自然。然萨温节至，精灵怒，德鲁伊魂归天地。</t>
  </si>
  <si>
    <t>二十八宿阵</t>
  </si>
  <si>
    <r>
      <rPr>
        <sz val="10"/>
        <rFont val="微软雅黑"/>
        <charset val="134"/>
      </rPr>
      <t>·对选择的目标造成</t>
    </r>
    <r>
      <rPr>
        <b/>
        <sz val="10"/>
        <rFont val="微软雅黑"/>
        <charset val="134"/>
      </rPr>
      <t>【星斗 X】</t>
    </r>
    <r>
      <rPr>
        <sz val="10"/>
        <rFont val="微软雅黑"/>
        <charset val="134"/>
      </rPr>
      <t xml:space="preserve">持续到你离开当前场景。
·消耗额外灵力值为 0 时：X=1
·消耗额外灵力值为 5 时：X=2
·消耗额外灵力值为 10 时：X=3
·消耗额外灵力值为 15 时：X=4
</t>
    </r>
    <r>
      <rPr>
        <b/>
        <sz val="10"/>
        <rFont val="微软雅黑"/>
        <charset val="134"/>
      </rPr>
      <t>【星斗 X】</t>
    </r>
    <r>
      <rPr>
        <sz val="10"/>
        <rFont val="微软雅黑"/>
        <charset val="134"/>
      </rPr>
      <t>：【非瞬间效果】【正面】你投掷 X 枚定骰并把出值记录下来，当场景内有生物进行行动检定时，你可以用你记录的出值替换定骰投掷。每个值在被替换后都会被消耗，当你以此法消耗掉所有被记录的数值后，终止本效果。</t>
    </r>
  </si>
  <si>
    <t>星宿旗扬，陨铁引辰。龟甲卜吉凶，观星定方位。然天象有变，星辰错位，阵法溃散。</t>
  </si>
  <si>
    <t>雷池阵</t>
  </si>
  <si>
    <t>1~3个
目标</t>
  </si>
  <si>
    <t>·检定成功时，对目标造成【雷电伤害 X】。
·消耗额外灵力值为 0 时：X=3
·消耗额外灵力值为 3 时：X=6
·消耗额外灵力值为 6 时：X=9
·消耗额外灵力值为 9 时：X=12</t>
  </si>
  <si>
    <t>雷击木为界，雄鸡血画符。铜钱剑悬顶，邪灵莫入，雷火轰焚，万法皆灭。然秽物沾染，阵法崩裂，百鬼夜行。</t>
  </si>
  <si>
    <t>六丁六甲阵</t>
  </si>
  <si>
    <t>·对自身造成下列 6 种效果中的其中 X 种。
【恢复 6】【增加灵力 6】【造物 3】【时髦 6】【强化攻击 4】【强化防御 3】持续到你离开当前场景。
·消耗额外灵力值为 0 时：X=1
·消耗额外灵力值为 6 时：X=2
·消耗额外灵力值为 12 时：X=3
·消耗额外灵力值为 18 时：X=4</t>
  </si>
  <si>
    <t>六丁六甲，神将护法。阴神左，阳神右，符纸焚，桃木挥。七日斋戒，方得神力加身，邪祟退散。然神力耗尽，施术者气衰三日，如履薄冰。</t>
  </si>
  <si>
    <t>北欧卢恩阵</t>
  </si>
  <si>
    <r>
      <rPr>
        <sz val="10"/>
        <rFont val="微软雅黑"/>
        <charset val="134"/>
      </rPr>
      <t xml:space="preserve">·指定目标从以下物品标签中选择一个获得之，持续到你离开当前场景，所有目标不能选择重复的标签。
【财富ᚠ 】·【力量ᚢ 】·【保护ᚦ 】·【智慧ᚨ 】·【爱情ᚷ 】【坚韧ᛇ 】·【命运ᛈ 】·【胜利ᛊ 】·【正义ᛏ 】·【家族ᛟ 】
·消耗额外灵力值为 0 时：X=1
·消耗额外灵力值为 5 时：X=2
·消耗额外灵力值为 10 时：X=3
·消耗额外灵力值为 15 时：X=4
</t>
    </r>
    <r>
      <rPr>
        <b/>
        <sz val="10"/>
        <rFont val="微软雅黑"/>
        <charset val="134"/>
      </rPr>
      <t>物品标签</t>
    </r>
    <r>
      <rPr>
        <sz val="10"/>
        <rFont val="微软雅黑"/>
        <charset val="134"/>
      </rPr>
      <t xml:space="preserve">
名称  用途
</t>
    </r>
    <r>
      <rPr>
        <b/>
        <sz val="10"/>
        <rFont val="微软雅黑"/>
        <charset val="134"/>
      </rPr>
      <t>财富</t>
    </r>
    <r>
      <rPr>
        <sz val="10"/>
        <rFont val="微软雅黑"/>
        <charset val="134"/>
      </rPr>
      <t xml:space="preserve">  招财、事业成功、资源流动                 </t>
    </r>
    <r>
      <rPr>
        <b/>
        <sz val="10"/>
        <rFont val="微软雅黑"/>
        <charset val="134"/>
      </rPr>
      <t>力量</t>
    </r>
    <r>
      <rPr>
        <sz val="10"/>
        <rFont val="微软雅黑"/>
        <charset val="134"/>
      </rPr>
      <t xml:space="preserve">  增强体力、治愈、突破极限
</t>
    </r>
    <r>
      <rPr>
        <b/>
        <sz val="10"/>
        <rFont val="微软雅黑"/>
        <charset val="134"/>
      </rPr>
      <t>保护</t>
    </r>
    <r>
      <rPr>
        <sz val="10"/>
        <rFont val="微软雅黑"/>
        <charset val="134"/>
      </rPr>
      <t xml:space="preserve">  抵御负面能量、破除诅咒                    </t>
    </r>
    <r>
      <rPr>
        <b/>
        <sz val="10"/>
        <rFont val="微软雅黑"/>
        <charset val="134"/>
      </rPr>
      <t>智慧</t>
    </r>
    <r>
      <rPr>
        <sz val="10"/>
        <rFont val="微软雅黑"/>
        <charset val="134"/>
      </rPr>
      <t xml:space="preserve">  提升口才、灵感、连接神灵
</t>
    </r>
    <r>
      <rPr>
        <b/>
        <sz val="10"/>
        <rFont val="微软雅黑"/>
        <charset val="134"/>
      </rPr>
      <t>爱情</t>
    </r>
    <r>
      <rPr>
        <sz val="10"/>
        <rFont val="微软雅黑"/>
        <charset val="134"/>
      </rPr>
      <t xml:space="preserve">  增强人际关系、婚姻、合作                </t>
    </r>
    <r>
      <rPr>
        <b/>
        <sz val="10"/>
        <rFont val="微软雅黑"/>
        <charset val="134"/>
      </rPr>
      <t xml:space="preserve"> 坚韧</t>
    </r>
    <r>
      <rPr>
        <sz val="10"/>
        <rFont val="微软雅黑"/>
        <charset val="134"/>
      </rPr>
      <t xml:space="preserve">  面对挑战、灵性成长、死亡与重生
</t>
    </r>
    <r>
      <rPr>
        <b/>
        <sz val="10"/>
        <rFont val="微软雅黑"/>
        <charset val="134"/>
      </rPr>
      <t>命运</t>
    </r>
    <r>
      <rPr>
        <sz val="10"/>
        <rFont val="微软雅黑"/>
        <charset val="134"/>
      </rPr>
      <t xml:space="preserve">  占卜、接受命运、隐藏机遇                 </t>
    </r>
    <r>
      <rPr>
        <b/>
        <sz val="10"/>
        <rFont val="微软雅黑"/>
        <charset val="134"/>
      </rPr>
      <t>胜利</t>
    </r>
    <r>
      <rPr>
        <sz val="10"/>
        <rFont val="微软雅黑"/>
        <charset val="134"/>
      </rPr>
      <t xml:space="preserve">  增强自信、驱散黑暗、成功
</t>
    </r>
    <r>
      <rPr>
        <b/>
        <sz val="10"/>
        <rFont val="微软雅黑"/>
        <charset val="134"/>
      </rPr>
      <t>正义</t>
    </r>
    <r>
      <rPr>
        <sz val="10"/>
        <rFont val="微软雅黑"/>
        <charset val="134"/>
      </rPr>
      <t xml:space="preserve">  战斗胜利、法律成功、坚定意志          </t>
    </r>
    <r>
      <rPr>
        <b/>
        <sz val="10"/>
        <rFont val="微软雅黑"/>
        <charset val="134"/>
      </rPr>
      <t>家族</t>
    </r>
    <r>
      <rPr>
        <sz val="10"/>
        <rFont val="微软雅黑"/>
        <charset val="134"/>
      </rPr>
      <t xml:space="preserve">  保护家产、祖先庇佑、传统智慧</t>
    </r>
  </si>
  <si>
    <t>卢恩符文，奥丁之智。橡木刻咒，渡鸦血染，符文匕首划破掌心。屏障立，未来现，然符文贪求，洛基诡笑，诅咒缠身。</t>
  </si>
  <si>
    <t>黄泉九幽阵</t>
  </si>
  <si>
    <t>·对选择的目标造成【灵识伤害 X】+【灵识伤害 X】，对自身造成【灵识伤害 X】。
·每消耗 1 点额外灵力值，X+1（X 基础为 0，X 的上限为你的生命值上限）。</t>
  </si>
  <si>
    <t>开阴门召厉鬼，以身做饵，阵法内冤魂索命，天地同寿。</t>
  </si>
  <si>
    <t>阿努比斯冥阵</t>
  </si>
  <si>
    <r>
      <rPr>
        <sz val="10"/>
        <rFont val="微软雅黑"/>
        <charset val="134"/>
      </rPr>
      <t>·对当前场景造成</t>
    </r>
    <r>
      <rPr>
        <b/>
        <sz val="10"/>
        <rFont val="微软雅黑"/>
        <charset val="134"/>
      </rPr>
      <t>【破灭 X】</t>
    </r>
    <r>
      <rPr>
        <sz val="10"/>
        <rFont val="微软雅黑"/>
        <charset val="134"/>
      </rPr>
      <t xml:space="preserve">持续到你离开当前场景。
·消耗额外灵力值为 0 时：X=1
·消耗额外灵力值为 7 时：X=2
·消耗额外灵力值为 14 时：X=3
·消耗额外灵力值为 21 时：X=4
</t>
    </r>
    <r>
      <rPr>
        <b/>
        <sz val="10"/>
        <rFont val="微软雅黑"/>
        <charset val="134"/>
      </rPr>
      <t>【破灭 X】</t>
    </r>
    <r>
      <rPr>
        <sz val="10"/>
        <rFont val="微软雅黑"/>
        <charset val="134"/>
      </rPr>
      <t>：场景内的【伤害抗性】如果≤【伤害抗性 X】，则该【伤害抗性】不会具有生效。</t>
    </r>
  </si>
  <si>
    <t>圣甲虫环天平，亡者之书诵冥言。黑曜匕首指阴间，蓝莲香引魂归。通灵问卜，诅咒降灾，然封印松动，吞噬者阿米特破界而出。</t>
  </si>
  <si>
    <t>玛雅血祭阵</t>
  </si>
  <si>
    <r>
      <rPr>
        <sz val="10"/>
        <rFont val="微软雅黑"/>
        <charset val="134"/>
      </rPr>
      <t>·对自身造成</t>
    </r>
    <r>
      <rPr>
        <b/>
        <sz val="10"/>
        <rFont val="微软雅黑"/>
        <charset val="134"/>
      </rPr>
      <t>【天火 X】</t>
    </r>
    <r>
      <rPr>
        <sz val="10"/>
        <rFont val="微软雅黑"/>
        <charset val="134"/>
      </rPr>
      <t xml:space="preserve">持续到你离开当前场景+对自身造成【火焰伤害 X】。
·消耗额外灵力值为 0 时：X=1
·消耗额外灵力值为 5 时：X=2
·消耗额外灵力值为 10 时：X=3
·消耗额外灵力值为 15 时：X=4
</t>
    </r>
    <r>
      <rPr>
        <b/>
        <sz val="10"/>
        <rFont val="微软雅黑"/>
        <charset val="134"/>
      </rPr>
      <t>【天火 X】</t>
    </r>
    <r>
      <rPr>
        <sz val="10"/>
        <rFont val="微软雅黑"/>
        <charset val="134"/>
      </rPr>
      <t>：【非瞬间效果】【正面】你进行的行动检定造成【伤害】时，额外造成【火焰伤害 X】。一轮战斗仅生效 N 次，N=你的术法强度。</t>
    </r>
  </si>
  <si>
    <t>历法石盘，血染日晷。黑曜刀取心，羽蛇神怒目。神力加身，人获兽力，然献祭不足，天火焚身。</t>
  </si>
  <si>
    <t>七星灯续命阵</t>
  </si>
  <si>
    <t>·你选择一个已经退场的生物，让他以 X 点生命值回到当前场景中。
·消耗额外灵力值为 0 时：X=1
·消耗额外灵力值为 7 时：X=3
·消耗额外灵力值为 14 时：X=5
·消耗额外灵力值为 21 时：X=7</t>
  </si>
  <si>
    <t>七星灯阵借北斗星辰之力，逆天改命。七盏青铜灯按北斗排列，鲛人油燃魂火，紫檀香引神念。施术者坐镇北极，七日不灭则寿延一纪。然灯火摇曳，一息不慎，便是魂飞魄散，永世不得超生。</t>
  </si>
  <si>
    <t>灵能印记表</t>
  </si>
  <si>
    <t>印记
类型</t>
  </si>
  <si>
    <t>缩小</t>
  </si>
  <si>
    <t>武器可以随你想法变小</t>
  </si>
  <si>
    <t>放大</t>
  </si>
  <si>
    <t>武器可以随你想法变大</t>
  </si>
  <si>
    <t>柔软</t>
  </si>
  <si>
    <t>武器可以变得柔软</t>
  </si>
  <si>
    <t>坚硬</t>
  </si>
  <si>
    <t>武器可以变得坚硬</t>
  </si>
  <si>
    <t>轻便</t>
  </si>
  <si>
    <t>武器对于你来说很轻便，即使其外观看起来不是这样</t>
  </si>
  <si>
    <t>沉重</t>
  </si>
  <si>
    <t>武器对于他人来说很沉重，难以正常握持或挥动</t>
  </si>
  <si>
    <t>失衡</t>
  </si>
  <si>
    <t>武器可以用来干扰敌人或是制造破绽</t>
  </si>
  <si>
    <t>守护</t>
  </si>
  <si>
    <t>武器适合用于抵挡攻击或是规避伤害</t>
  </si>
  <si>
    <t>多重</t>
  </si>
  <si>
    <t>你持有武器是复数的，通常是一组造型相似的武器。它们为你在战斗时带来了数量上的优势</t>
  </si>
  <si>
    <t>组合</t>
  </si>
  <si>
    <t>武器由数个你自行决定的部件组合而成，这使得武器可以分开，也可以组合成型，即使其外观看起来无法做到</t>
  </si>
  <si>
    <t>分身</t>
  </si>
  <si>
    <t>武器可以分裂或衍生出其复制体</t>
  </si>
  <si>
    <t>悬空</t>
  </si>
  <si>
    <t>武器可以随你意志漂浮在空中</t>
  </si>
  <si>
    <t>警戒</t>
  </si>
  <si>
    <t>武器能够为你预知危险</t>
  </si>
  <si>
    <t>高速</t>
  </si>
  <si>
    <t>在使用武器时，你的自身速度能够得到提升</t>
  </si>
  <si>
    <t>隐蔽</t>
  </si>
  <si>
    <t>在使用武器时，你能够隐藏自身的气息</t>
  </si>
  <si>
    <t>转移</t>
  </si>
  <si>
    <t>你的武器能够带领你进行短距离的瞬间移动</t>
  </si>
  <si>
    <t>神圣</t>
  </si>
  <si>
    <t>武器可以用于抵抗邪恶的力量</t>
  </si>
  <si>
    <t>能量</t>
  </si>
  <si>
    <t>武器可以是一种元素能量：光、火、雷、冰、水、土、风等</t>
  </si>
  <si>
    <t>变形</t>
  </si>
  <si>
    <t>武器可以转化为另外一种形态</t>
  </si>
  <si>
    <t>材质</t>
  </si>
  <si>
    <t>该武器可以呈现为某种现实材质：金、银、铜、钢、铁、木、石、骨、玉等</t>
  </si>
  <si>
    <t>智能</t>
  </si>
  <si>
    <t>该武器拥有一定智能，能够理解你的话语和指令，还懂得如何使用自己</t>
  </si>
  <si>
    <t>附着</t>
  </si>
  <si>
    <t>武器可以持续附着在其他物品/生物上</t>
  </si>
  <si>
    <t>相位</t>
  </si>
  <si>
    <t>武器能暂时穿透实体障碍物</t>
  </si>
  <si>
    <t>音爆</t>
  </si>
  <si>
    <t>武器能产生强大的冲击性音波</t>
  </si>
  <si>
    <t>磁力</t>
  </si>
  <si>
    <t>武器能吸引或排斥特定材质的物体</t>
  </si>
  <si>
    <t>幻映</t>
  </si>
  <si>
    <t>武器表面可投射预设光影图像</t>
  </si>
  <si>
    <t>专长表</t>
  </si>
  <si>
    <t>深度灵体合一</t>
  </si>
  <si>
    <t>你的生命值上限恒定变为 1 点，然后把减少的自己的生命值上限按照 1 : 4 的比例转化为灵力值上限（即 1 点生命值上限= 4 点灵力值上限），但是你的灵力值上限 -5 点。
你的生命值上限获得 1 点提升时，也会变为提升 4 点灵力值上限。
当你受到【伤害】时，你可以选择消耗 4 点灵力值令该【伤害】减少1级。</t>
  </si>
  <si>
    <t>人生如戏</t>
  </si>
  <si>
    <t>当你获得 1 枚时髦骰时，你会立即获得 1d4 点时髦值。</t>
  </si>
  <si>
    <t>同仇</t>
  </si>
  <si>
    <t>如果你和具有同仇专长的生物在一个行动顺序中，你们进行攻击检定时会获得 1 枚加骰。</t>
  </si>
  <si>
    <t>灵力觉醒</t>
  </si>
  <si>
    <t>若在一次行动检定中，你通过激活灵能力标签获得加骰，你可以将其中一枚 D4 取满。</t>
  </si>
  <si>
    <t>星聚体</t>
  </si>
  <si>
    <t>你在从当前场景进入到下一个场景时，会恢复 5 点灵力值。</t>
  </si>
  <si>
    <t>武神体</t>
  </si>
  <si>
    <t>施展武技进行攻击检定时，你可以通过减少通过武技强度获得的加骰来减少该武技的灵力值消耗，每减少 1 枚加骰，武技的灵力值消耗也减少 1 点。
但无论如何，武技的灵力值消耗不能低于 1 点。</t>
  </si>
  <si>
    <t>逆势而上</t>
  </si>
  <si>
    <t>选择反击进行的攻击检定承受的减值减少 5 点。</t>
  </si>
  <si>
    <t>人名树影</t>
  </si>
  <si>
    <t>每场游戏聚会开始时，如果时髦值低于 20 点，你的时髦值会变为 20 点。</t>
  </si>
  <si>
    <t>先先之先</t>
  </si>
  <si>
    <t>若目标对你进行的攻击检定，你可在得出总值后再选择是防御还是反击。（注：具有先先之先的角色被武技：轮华攻击时，施展轮华的角色无论如何都不会获得加骰）</t>
  </si>
  <si>
    <t>战斗医师</t>
  </si>
  <si>
    <t>当你在战斗中对目标造成【恢复】时，额外恢复目标 1 点生命值。</t>
  </si>
  <si>
    <t>灵能导师</t>
  </si>
  <si>
    <t>你施展术法消耗的灵力值始终减少 1 点，但减少后的术法灵力值消耗不能低于 1 点。</t>
  </si>
  <si>
    <t>凶猛武士</t>
  </si>
  <si>
    <t>你施展武技造成的【伤害】会增加 1 级，但是其他【效果】都会减少 2 级。</t>
  </si>
  <si>
    <t>凶暴术士</t>
  </si>
  <si>
    <t>你施展术法造成的【伤害】会增加 1 级，但是其他【效果】都会减少 2 级。</t>
  </si>
  <si>
    <t>万人迷</t>
  </si>
  <si>
    <t>你进行说服检定时可以投掷两枚定骰，并取高值使用。</t>
  </si>
  <si>
    <t>干探</t>
  </si>
  <si>
    <t>你进行调查检定时可以投掷两枚定骰，并取高值使用。</t>
  </si>
  <si>
    <t>有备而来</t>
  </si>
  <si>
    <t>你的道具点上限+1。
当你进入一个新场景且没有道具点时，获得 1 点道具点。</t>
  </si>
  <si>
    <t>聚合灵效</t>
  </si>
  <si>
    <t>你进行行动检定成功时，你可以消耗 1 灵力点，让你获得的【成功等级】数量增加 1 个。一个场景中仅生效一次。</t>
  </si>
  <si>
    <t>不动如山</t>
  </si>
  <si>
    <t>当你受到【效果】时，如果这个【效果】使用【成功等级】数量计算效果等级，视为该【效果】的【成功等级】数量减少 1 个。一轮战斗仅生效两次。</t>
  </si>
  <si>
    <t>反转劣势</t>
  </si>
  <si>
    <t>你在施展灵能力进行检定时，你可以主动宣告触发你的灵能力弱点标签，此时灵能力弱点标签为你提供加骰。
你必须用一个全新的角度，诠释你的灵能力弱点是如何在这次行动中为你提供帮助的。主持人拥有最终裁定权。
你本次检定掷骰的D20结果为 9 或更低时，将其视为 10 。以此方式触发灵能力弱点时，你不会获得经验值。一个场景中仅生效一次。</t>
  </si>
  <si>
    <t>画符大师</t>
  </si>
  <si>
    <t>你每次使用道具点施展符箓造成【效果】时，都会使其中一个【效果】提高 2 级。</t>
  </si>
  <si>
    <t>主角登场</t>
  </si>
  <si>
    <t>你可以在进行行动检定中立即获得一枚时髦骰。一个场景中仅生效一次。</t>
  </si>
  <si>
    <t>大艺术家</t>
  </si>
  <si>
    <t>当你消耗≥10点时髦值执行时髦动作时，减少 1d4 时髦值的消耗。</t>
  </si>
  <si>
    <t>多重守护者</t>
  </si>
  <si>
    <t>当你进行攻击检定并对目标造成【伤害】后，对自身造成【强化防御 1 】。</t>
  </si>
  <si>
    <t>使者凭咒</t>
  </si>
  <si>
    <t>你选择一项你已经习得的术法，该术法的灵力消耗减少2点（最少不能少于 1 ）。但你施展该术法会使自己的当前生命值减少 1 点。</t>
  </si>
  <si>
    <t>灵币铸造</t>
  </si>
  <si>
    <t>你可以执行行动消耗 2 道具点创造 1 枚灵币。
你可以在任何时候花费灵币（无需动作），花费灵币时，你可以选择目标造成以下效果之一：
·恢复 1D4 的灵力值
·恢复 1D4 的生命值
·对目标造成【强化防御 1 】效果
你至多只能拥有 1 枚灵币。</t>
  </si>
  <si>
    <t>赋罪者</t>
  </si>
  <si>
    <t>当其他生物受到【伤害】时，你可以让该【伤害】减少 2 点，你受到同类型的【伤害 2 】。</t>
  </si>
  <si>
    <t>狂武者</t>
  </si>
  <si>
    <t>每场聚会仅生效一次。你可以花费 5 点时髦值，你可以临时学会一项未习得的武技（须符合习得条件），你会在断章时遗忘你习得的武技。</t>
  </si>
  <si>
    <t>乱法者</t>
  </si>
  <si>
    <t>每场聚会仅生效一次。你可以花费 5 点时髦值，你可以临时学会一项未习得的术法（须符合习得条件），你会在断章时遗忘你习得的术法。</t>
  </si>
  <si>
    <t>灵兽招来</t>
  </si>
  <si>
    <r>
      <rPr>
        <sz val="10"/>
        <color theme="1"/>
        <rFont val="微软雅黑"/>
        <charset val="134"/>
      </rPr>
      <t xml:space="preserve">你获得一只跟随着你的灵兽。规则上，他被视为两个灵兽【标签】，一个决定它的形态，一个决定它的异能。
</t>
    </r>
    <r>
      <rPr>
        <b/>
        <sz val="10"/>
        <color theme="1"/>
        <rFont val="微软雅黑"/>
        <charset val="134"/>
      </rPr>
      <t>【灵兽标签】激活规则：</t>
    </r>
    <r>
      <rPr>
        <sz val="10"/>
        <color theme="1"/>
        <rFont val="微软雅黑"/>
        <charset val="134"/>
      </rPr>
      <t xml:space="preserve">你激活该标签后，在一次聚会中你无法再激活该灵兽标签。
</t>
    </r>
    <r>
      <rPr>
        <b/>
        <sz val="10"/>
        <color theme="1"/>
        <rFont val="微软雅黑"/>
        <charset val="134"/>
      </rPr>
      <t>创建形态：</t>
    </r>
    <r>
      <rPr>
        <sz val="10"/>
        <color theme="1"/>
        <rFont val="微软雅黑"/>
        <charset val="134"/>
      </rPr>
      <t xml:space="preserve">灵兽的形态仅代表该灵兽的外在样貌，其造型来源于中外典籍当中的生物形象，你可以使用任意典籍中的生物形象来决定你的灵兽样貌，然后将生物的名字作为一个【灵兽标签】。
</t>
    </r>
    <r>
      <rPr>
        <b/>
        <sz val="10"/>
        <color theme="1"/>
        <rFont val="微软雅黑"/>
        <charset val="134"/>
      </rPr>
      <t>选择异能：</t>
    </r>
    <r>
      <rPr>
        <sz val="10"/>
        <color theme="1"/>
        <rFont val="微软雅黑"/>
        <charset val="134"/>
      </rPr>
      <t>你可以从下表中选择一个异能，这代表着你的灵兽所掌握的异能，同时也是一个【灵兽标签】。
【魅惑幻形】能够编织覆盖特定区域的环境，修改其中的光影与声音，引导目标的情绪产生波动。
【黄金守护】能够感知被埋藏的贵金属，将接触的金银转化为高速旋转的金属风暴。
【天象主宰】能够飞翔于天空当中，操控云层中的水汽凝结降雨，引导空气中的电荷生成雷电，改变局部气流方向。
【空间撕裂】能够干扰非实体屏障、阵法或结界，对空间结构造成不稳定裂缝。
【毒液审判】能够吐出加速伤口愈合的唾液与腐蚀伤口的毒液。
【净化圣域】能够通过触碰污染源，分解其中的毒素、诅咒能量或放射性物质。
【法典窃取】能够提取书籍、卷轴中的文字，将其转移到其余载体之上，并对文字的意思进行解读。
【地脉封镇】能够践踏地面使土壤岩层硬化，重组金属物品的分子排列以提升密度。
【雷鼓震魂】发出混合低频震动与高频雷音的咆哮，对实体物质产生共振，对灵体产生震荡波。
【瘴疠为膳】能够吸收附近的瘟疫毒气，从背部长出解毒的赤色菌菇。
【千影寻踪】可将自身影子分裂为九道，每道影子可独立追踪不同气味的来源。
【骨刃铸兵】可将骨头转化为青铜兵刃，兵刃形状可以根据自身意志变化。
【珠泪凝珀】可将眼泪通过接触水源生成琥珀，琥珀能够封存声音。
【织霞成锦】能够吞食晚霞吐出七彩锦缎，触碰锦缎者可减轻自身受到重力的影响。
【泉眼通幽】能够操控水脉制造漩涡通道，快速转移到水脉所流通的其他地点。</t>
    </r>
  </si>
  <si>
    <t>绝技表</t>
  </si>
  <si>
    <t>绝技类型</t>
  </si>
  <si>
    <t>司掌职能</t>
  </si>
  <si>
    <t>挡位</t>
  </si>
  <si>
    <t>狞猎哨兵</t>
  </si>
  <si>
    <t>尸狗魄</t>
  </si>
  <si>
    <t>警觉</t>
  </si>
  <si>
    <t>尸狗魄，掌管你的警觉能力。使你时刻能够保持着对外界的警惕，感知周围环境的变化。一旦危险将至，你的心身都能够在瞬间警觉，化解或规避即将到来的危机。
当你施展此绝技时，你的尸狗魄将会与你选择解放的标签融为一体，并根据你的想象，召唤出你那如影随形的“哨兵”。
你可以自由决定这位“哨兵”的种类、外观又或是智能性。无论是传说中的伊芙利特，坚硬的钢铁巨像，还是忠诚的灵体猎犬都可以…当然，甚至可以是你自己。你只需要依据你的灵能力作出你认为最适合的描述即可。
任何对你不利的行为，统统都会被这位“哨兵”妨碍、阻挡、干扰或击落，使你能够更有效地应对敌人。</t>
  </si>
  <si>
    <t>任何对你根据【成功等级】造成的【效果】会视为减少2*X个【成功等级】（X=你解放的标签数量），持续到你离开当前场景。</t>
  </si>
  <si>
    <t>一
挡</t>
  </si>
  <si>
    <t>闪灵罗网</t>
  </si>
  <si>
    <t>伏矢魄</t>
  </si>
  <si>
    <t>思维与反应力</t>
  </si>
  <si>
    <t>伏矢魄，掌管你的思维意识。它反映着你对一个事物的认知、思考和判断能力，同时还控制着你在面对各类突发情况时的反应速度。
当你施展此绝技时，你的伏矢魄与你选择解放的标签，将会根据你的想象交缠融合，并强化你的反射神经和反应速度，使你能够在短时间内获得超人的机动力。
你可以自由描述你的灵能力是如何帮助你获得提升。这可以是一种针对肉体筋骨的辅助工具，也可以是对意识精神的自我强化。你只需要依据你的灵能力作出你认为最适合的描述即可。
机动力获得提升的你，能够在瞬间预测各种动作并从中选择出最优的解决方案。如同你独自编织出一张充满可能性的捕网，无论猎物逃往何方，你都能将其收入其中。</t>
  </si>
  <si>
    <t>你的武技强度，术法强度和灵能力强度增加X点（X=你解放的标签数量/2（向下取整））。</t>
  </si>
  <si>
    <t>铄命药釜</t>
  </si>
  <si>
    <t>雀阴魄</t>
  </si>
  <si>
    <t>生命力与恢复力</t>
  </si>
  <si>
    <t>雀阴魄，司掌你的生命力与恢复力。你的生命活力和你的自我治愈能力皆源于此；同时它还象征着人类的繁衍和生命的延续。
当你施展此绝技时，根据你的想象，你选择解放的标签会被创造成一个神圣的密封炊具，你的雀阴魄则会成为其中的神圣煮物。
你可以自由决定炊具的造型、形状、大小和装饰；以及炊具最终呈现的煮物是什么。从真正煎制沸腾药物的药罐，到西方宗教下的瓶装圣水，又或是熬煮的家常粥水都没有问题。你只需要依据你的灵能力作出你认为最适合的描述即可。
当煮物完成烹制后，炊具会发出一声提示。服食或被浇洒神圣煮物的生物将会获得你所指定的增益。</t>
  </si>
  <si>
    <t>当你进行攻击检定对场景中的生物造成【伤害】后，你可以指定另一个生物（包括你自己），然后选择以下其一，直到你离开该场景：
·造成【恢复X】（X=你解放标签的数量）；
·造成【恢复灵力X】（X=你解放标签的数量）。</t>
  </si>
  <si>
    <t>狂魄武装</t>
  </si>
  <si>
    <t>吞贼魄</t>
  </si>
  <si>
    <t>外在抗御能力</t>
  </si>
  <si>
    <t>吞贼魄，象征你抵抗外敌的防御能力。它如同你身体内的免疫系统，是你坚实的防护盾，保护你免受伤痛疾病的侵扰。
当你施展此绝技时，你的吞贼魄与你选择解放的标签将会覆盖你的身体，并根据你的想象，转化为你的外在装甲。
你可以综合考虑你的灵能力，来决定这套装甲的造型、材质、色彩等装饰细节。它可以是神话中的伟大铠甲，可以是轻披在身的霓裳羽衣，甚至也可以是一种不具备物理形态的抽象概念。你只需要依据你的灵能力作出你认为最适合的描述即可。
身披盔甲的你能够在自己或是其他生物防御时提供强而有力的支持，即使是抗击最强大的敌人也毫不畏惧。</t>
  </si>
  <si>
    <t>·当场景内有生物选择反击时，你可以让其进行的攻击检定获得5点加值。
·当场景内有生物选择防御时，你可以让那次攻击检定的挑战值增加5点。
你可以使用该能力X次，直到你离开该场景。（X=你解放标签的数量两倍）</t>
  </si>
  <si>
    <t>辟害符佩</t>
  </si>
  <si>
    <t>非毒魄</t>
  </si>
  <si>
    <t>内在化解能力</t>
  </si>
  <si>
    <t>非毒魄，掌管你排除要害的能力。使得你可以仅凭自身便将体内积聚的“毒素”化解。所谓“毒素”，不仅是指由外界侵入体内的有害物质，还包括你的情绪所带来的不良影响。
当你施展此绝技时，你的非毒魄与你选择解放的标签将被结合雕琢，并根据你的想象，变化为一件有形的灵符配饰。
你可以自由决定配饰的形状、造型以及配饰上刻画的灵符纹样。这可以是一件端庄的玉佩、一条典雅的项链、一枚权威的玺戒又或是一顶威严的皇冠。你只需要依据你的灵能力作出你认为最适合的描述即可。
刻有灵幻符咒的配饰能够保护你或你的盟友，帮助你们化解那些尝试侵入你们的负面因素，使你们时刻保持肉体与精神的平衡。</t>
  </si>
  <si>
    <t>你可以对场景中你选择的目标造成【清除效果X】（X*3为你解放标签的数量）</t>
  </si>
  <si>
    <t>净灵环</t>
  </si>
  <si>
    <t>除秽魄</t>
  </si>
  <si>
    <t>净化能力</t>
  </si>
  <si>
    <t>除秽魄，掌控你的自我净化能力。它不仅会帮助你清除身体代谢而产生的废物，同时还控制着你抵抗邪魔外道干扰、入侵的能力。
当你施展此绝技时，你的除秽魄将会与你选择解放的标签转化为两个光点缠绕在你身边。再根据你的想象，在空中快速划动，并形成两个盘旋的圆环。
你可以自由决定圆环的大小、材质、造型以及其他装饰细节。从细小的两枚指环，到扣于双臂的手镯，抑或踏于双脚之下的火轮都可以。你只需要依据你的灵能力作出你认为最适合的描述即可。
圆环成对，此阴彼阳，散发着神圣洁净的微光。它遵循着你的指令，为你或是你的盟友驱赶黑暗、邪祟之气。</t>
  </si>
  <si>
    <t>当场景内有生物类型为鬼魂的敌人进行攻击检定时，总值必须减去额外投掷X枚D4骰的结果，效果持续到你离开该场景。（X为你解放标签的数量）</t>
  </si>
  <si>
    <t>灵气自在功法</t>
  </si>
  <si>
    <t>臭肺魄</t>
  </si>
  <si>
    <t>气息控制能力</t>
  </si>
  <si>
    <t>臭肺魄，管理着你的呼吸功能。它负责调节你因身体状态变化而产生的氧气的供给需求。确保你能够时刻保持呼吸平稳顺畅，以进一步提升你的内在修为。
你施展此绝技时，臭肺魄将会与你选择解放的标签合而为一，并重新回到你的体内。然后根据你的想象，成为一套由你自行领悟的特殊招式。
如何演绎这套招式由你自行决定。它们可以是对真实存在的武术的戏仿或致敬，也可以是一套由你完全原创的武学招数。你可以优先依据你的灵能力作出你认为最适合的描述。
通过应用灵气自在功法，可以让你做到心神合一。在短时间内，极大幅度地提升你的灵能力，并强化你对灵能力的应用。</t>
  </si>
  <si>
    <t>你可以让你进行行动检定获得的加骰从D4变为D6。
你可以使用该能力X次，效果持续到你离开该场景。（X为你解放标签的数量）</t>
  </si>
  <si>
    <t>降神嗔令</t>
  </si>
  <si>
    <t>胎光魂</t>
  </si>
  <si>
    <t>生息与死灭</t>
  </si>
  <si>
    <t>胎光魂，是你的生命灯火，决定着你的生死存亡。一旦这生命火光熄灭，那就代表死期将至。此火乃至纯至阳，可将你的意识与诸天神相联，使你在短时间内成为半人半神的存在，助你降魔伏妖。
当你施展此绝技时，你选择解放的标签，将会缠绕你的胎光魂，并根据你的想象，化作一道代表神的令牌。
你可以自行决定令牌的样式、造型，大小以及刻画在上面的符咒和敕令。无论是传统道教仪式中的令牌，还是古代军队中用于发号司令的虎符，又或是一部戏谑的现代智能手机，都可以是对令牌的描述。你只需要依据你的灵能力作出你认为适合的描述即可。
手持令牌，你将获得接近于神的威能，可用于保卫你的盟友，以及击溃你的敌人。</t>
  </si>
  <si>
    <t>你指定X个目标，你与你选择的目标获得【物理免疫】，以及一个你指定类型的【伤害抗性X】。（X为你解放标签的数量）
此外，你与你选择的目标造成【伤害】时，全部变为【湮灭伤害】。</t>
  </si>
  <si>
    <t>二
挡</t>
  </si>
  <si>
    <t>钦法愚印</t>
  </si>
  <si>
    <t>爽灵魂</t>
  </si>
  <si>
    <t>智慧与感知</t>
  </si>
  <si>
    <t>爽灵魂，是你的智慧之源。它掌管你的智力、判断力及感知能力。也管理着你与诸天神沟通的灵性之力。
施展此绝技时，你选择解放的标签，并重构你的爽灵魂，根据你的想象重新组合成一尊法印。
你可以自行决定法印的造型、材质以及篆刻在上面的印鉴样式。从失落的传国玉玺，到形态各异的古铜印，又或是火漆印章，甚至是玩具印章或是潮流贴纸。你只需要依据灵能力作出适合的描述即可。
当你为你的盟友盖下法印，意味着你们已经可以借用天神之力。即使是对术法一无所知的莽夫，也能通过天神附体施展奇迹。</t>
  </si>
  <si>
    <t>你从普通或秘传凭术列表中选择一项，指定除你以外的X个目标，你与目标不需要习得这项凭术就可以施展它，同时不需要任何消耗。（X为你解放标签的数量）</t>
  </si>
  <si>
    <t>振欲旗幡</t>
  </si>
  <si>
    <t>幽精魂</t>
  </si>
  <si>
    <t>心灵与情感</t>
  </si>
  <si>
    <t>幽精魂，主宰你的性情与情绪。它管理着你的欲望、梦境与潜意识，是你内心最深处不曾向人表露过的一面。
施展此绝技时，你将选择解放的标签，并与你的幽精魂交织相融，根据想象编织成一杆令旗。
你可以自行决定令旗的大小形状、材质用料，以及旗上的装饰刺绣或图纹样式。可以基于现实中存在的旗帜进行再创作；也可以动手绘画一面原创的旗帜；这面旗帜甚至不一定是传统意义上的“旗”，只需要依据你的灵能力作出你认为适合的描述即可。
每当你挥动旗幡，你都将会为你和你的盟友招来福佑，为你的敌人送去灾祸。</t>
  </si>
  <si>
    <t>你从《通用效果表》中选择一种【效果】，然后选择若干个目标，对目标造成具有X的成功等级的该【效果】。每个轮次开始时，你都可以对目标造成你选择【效果X】。（X为你解放标签的数量）</t>
  </si>
  <si>
    <t>版本</t>
  </si>
  <si>
    <t>发布时间</t>
  </si>
  <si>
    <t>说明</t>
  </si>
  <si>
    <t>V1.0</t>
  </si>
  <si>
    <t>2025.11.28</t>
  </si>
  <si>
    <t>具备大多数功能，可以正常使用的基础版本。兼容《边缘人扮演指南》。
为便于滚轮翻阅过长条目，主表中部分格子（如武技效果）需手动下拉选择。更换后需手动重选。
在主表各处添加了“☑”，以便确认该模块是否可用。</t>
  </si>
  <si>
    <t>V1.1</t>
  </si>
  <si>
    <t>2025.11.29</t>
  </si>
  <si>
    <t>修bug。为生命值和灵力值添加了适配专长“深度灵体合一”的变动。</t>
  </si>
  <si>
    <t>V1.2</t>
  </si>
  <si>
    <t>2025.11.30</t>
  </si>
  <si>
    <t>修bug。同步狩魂者青果骰插件更新，添加“事件业力”至录卡数据。</t>
  </si>
  <si>
    <t>V1.3</t>
  </si>
  <si>
    <t>2025.12.17</t>
  </si>
  <si>
    <t>根据核心规则V1.0书签版修正部分内容，补充“无畏守护”时髦风格、侠界联动时髦风格。
取消了武技表与术法表“风味描述”的保护，以便有需求者手动修改。（注意，这会损坏原始描述！）
修bug。修正了录卡模块的指导描述。</t>
  </si>
  <si>
    <t>V1.4</t>
  </si>
  <si>
    <t>2026.1.25</t>
  </si>
  <si>
    <t>修正一挡绝技效果显示bug，修改主表版头显示效果。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</si>
</sst>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1">
    <font>
      <sz val="11"/>
      <color theme="1"/>
      <name val="宋体"/>
      <charset val="134"/>
      <scheme val="minor"/>
    </font>
    <font>
      <sz val="11"/>
      <color theme="1"/>
      <name val="微软雅黑"/>
      <charset val="134"/>
    </font>
    <font>
      <b/>
      <sz val="14"/>
      <color theme="0"/>
      <name val="微软雅黑"/>
      <charset val="134"/>
    </font>
    <font>
      <b/>
      <sz val="11"/>
      <color theme="1"/>
      <name val="微软雅黑"/>
      <charset val="134"/>
    </font>
    <font>
      <sz val="10"/>
      <color theme="1"/>
      <name val="微软雅黑"/>
      <charset val="134"/>
    </font>
    <font>
      <sz val="11"/>
      <color theme="0"/>
      <name val="微软雅黑"/>
      <charset val="134"/>
    </font>
    <font>
      <sz val="10"/>
      <color theme="0"/>
      <name val="微软雅黑"/>
      <charset val="134"/>
    </font>
    <font>
      <sz val="11"/>
      <name val="微软雅黑"/>
      <charset val="134"/>
    </font>
    <font>
      <b/>
      <sz val="11"/>
      <color theme="0"/>
      <name val="微软雅黑"/>
      <charset val="134"/>
    </font>
    <font>
      <b/>
      <sz val="11"/>
      <name val="微软雅黑"/>
      <charset val="134"/>
    </font>
    <font>
      <sz val="11"/>
      <name val="宋体"/>
      <charset val="134"/>
    </font>
    <font>
      <sz val="10"/>
      <name val="微软雅黑"/>
      <charset val="134"/>
    </font>
    <font>
      <sz val="11"/>
      <color theme="1"/>
      <name val="宋体"/>
      <charset val="134"/>
    </font>
    <font>
      <sz val="11"/>
      <color rgb="FFFF0000"/>
      <name val="微软雅黑"/>
      <charset val="134"/>
    </font>
    <font>
      <sz val="11"/>
      <color rgb="FFF8F6F5"/>
      <name val="微软雅黑"/>
      <charset val="134"/>
    </font>
    <font>
      <sz val="11"/>
      <name val="宋体"/>
      <charset val="134"/>
      <scheme val="minor"/>
    </font>
    <font>
      <sz val="16"/>
      <color theme="1"/>
      <name val="微软雅黑"/>
      <charset val="134"/>
    </font>
    <font>
      <sz val="11"/>
      <color theme="0" tint="-0.25"/>
      <name val="微软雅黑"/>
      <charset val="134"/>
    </font>
    <font>
      <sz val="11"/>
      <color theme="0" tint="-0.5"/>
      <name val="微软雅黑"/>
      <charset val="134"/>
    </font>
    <font>
      <sz val="11"/>
      <color theme="0"/>
      <name val="宋体"/>
      <charset val="134"/>
      <scheme val="minor"/>
    </font>
    <font>
      <sz val="9"/>
      <color theme="1"/>
      <name val="微软雅黑"/>
      <charset val="134"/>
    </font>
    <font>
      <sz val="10"/>
      <color theme="0" tint="-0.25"/>
      <name val="微软雅黑"/>
      <charset val="134"/>
    </font>
    <font>
      <sz val="10"/>
      <color theme="0" tint="-0.5"/>
      <name val="微软雅黑"/>
      <charset val="134"/>
    </font>
    <font>
      <sz val="11"/>
      <color rgb="FFEEE4E2"/>
      <name val="微软雅黑"/>
      <charset val="134"/>
    </font>
    <font>
      <sz val="11"/>
      <color rgb="FFB5655E"/>
      <name val="微软雅黑"/>
      <charset val="134"/>
    </font>
    <font>
      <b/>
      <sz val="8"/>
      <color rgb="FFFF0000"/>
      <name val="微软雅黑"/>
      <charset val="134"/>
    </font>
    <font>
      <sz val="10"/>
      <color rgb="FFB5655E"/>
      <name val="微软雅黑"/>
      <charset val="134"/>
    </font>
    <font>
      <sz val="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name val="微软雅黑"/>
      <charset val="134"/>
    </font>
    <font>
      <b/>
      <sz val="10"/>
      <color theme="1"/>
      <name val="微软雅黑"/>
      <charset val="134"/>
    </font>
    <font>
      <sz val="11"/>
      <color theme="0" tint="-0.25"/>
      <name val="宋体"/>
      <charset val="134"/>
    </font>
    <font>
      <sz val="9"/>
      <name val="宋体"/>
      <charset val="134"/>
    </font>
  </fonts>
  <fills count="40">
    <fill>
      <patternFill patternType="none"/>
    </fill>
    <fill>
      <patternFill patternType="gray125"/>
    </fill>
    <fill>
      <patternFill patternType="solid">
        <fgColor rgb="FFCAB56E"/>
        <bgColor indexed="64"/>
      </patternFill>
    </fill>
    <fill>
      <patternFill patternType="solid">
        <fgColor rgb="FFF2ECDA"/>
        <bgColor indexed="64"/>
      </patternFill>
    </fill>
    <fill>
      <patternFill patternType="solid">
        <fgColor rgb="FFF8F6F5"/>
        <bgColor indexed="64"/>
      </patternFill>
    </fill>
    <fill>
      <patternFill patternType="solid">
        <fgColor rgb="FFB5655E"/>
        <bgColor indexed="64"/>
      </patternFill>
    </fill>
    <fill>
      <patternFill patternType="solid">
        <fgColor rgb="FFEEE4E2"/>
        <bgColor indexed="64"/>
      </patternFill>
    </fill>
    <fill>
      <patternFill patternType="solid">
        <fgColor rgb="FFB0842D"/>
        <bgColor indexed="64"/>
      </patternFill>
    </fill>
    <fill>
      <patternFill patternType="solid">
        <fgColor rgb="FFF4E9D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1">
    <border>
      <left/>
      <right/>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style="thin">
        <color theme="0" tint="-0.25"/>
      </right>
      <top/>
      <bottom style="thin">
        <color theme="0" tint="-0.25"/>
      </bottom>
      <diagonal/>
    </border>
    <border>
      <left style="thin">
        <color theme="0" tint="-0.25"/>
      </left>
      <right style="thin">
        <color theme="0" tint="-0.25"/>
      </right>
      <top/>
      <bottom style="thin">
        <color theme="0" tint="-0.25"/>
      </bottom>
      <diagonal/>
    </border>
    <border>
      <left style="thin">
        <color theme="0" tint="-0.25"/>
      </left>
      <right/>
      <top/>
      <bottom style="thin">
        <color theme="0" tint="-0.25"/>
      </bottom>
      <diagonal/>
    </border>
    <border>
      <left style="thin">
        <color theme="0" tint="-0.25"/>
      </left>
      <right style="thick">
        <color auto="1"/>
      </right>
      <top/>
      <bottom style="thin">
        <color theme="0" tint="-0.25"/>
      </bottom>
      <diagonal/>
    </border>
    <border>
      <left style="thick">
        <color auto="1"/>
      </left>
      <right style="thin">
        <color theme="0" tint="-0.25"/>
      </right>
      <top style="thin">
        <color theme="0" tint="-0.25"/>
      </top>
      <bottom style="thin">
        <color theme="0" tint="-0.25"/>
      </bottom>
      <diagonal/>
    </border>
    <border>
      <left style="thin">
        <color theme="0" tint="-0.25"/>
      </left>
      <right style="thin">
        <color theme="0" tint="-0.25"/>
      </right>
      <top style="thin">
        <color theme="0" tint="-0.25"/>
      </top>
      <bottom style="thin">
        <color theme="0" tint="-0.25"/>
      </bottom>
      <diagonal/>
    </border>
    <border>
      <left style="thin">
        <color theme="0" tint="-0.25"/>
      </left>
      <right/>
      <top style="thin">
        <color theme="0" tint="-0.25"/>
      </top>
      <bottom style="thin">
        <color theme="0" tint="-0.25"/>
      </bottom>
      <diagonal/>
    </border>
    <border>
      <left style="thin">
        <color theme="0" tint="-0.25"/>
      </left>
      <right style="thick">
        <color auto="1"/>
      </right>
      <top style="thin">
        <color theme="0" tint="-0.25"/>
      </top>
      <bottom/>
      <diagonal/>
    </border>
    <border>
      <left style="thin">
        <color theme="0" tint="-0.25"/>
      </left>
      <right style="thick">
        <color auto="1"/>
      </right>
      <top/>
      <bottom/>
      <diagonal/>
    </border>
    <border>
      <left style="thick">
        <color auto="1"/>
      </left>
      <right style="thin">
        <color theme="0" tint="-0.25"/>
      </right>
      <top style="thin">
        <color theme="0" tint="-0.25"/>
      </top>
      <bottom style="thick">
        <color auto="1"/>
      </bottom>
      <diagonal/>
    </border>
    <border>
      <left style="thin">
        <color theme="0" tint="-0.25"/>
      </left>
      <right style="thin">
        <color theme="0" tint="-0.25"/>
      </right>
      <top style="thin">
        <color theme="0" tint="-0.25"/>
      </top>
      <bottom style="thick">
        <color auto="1"/>
      </bottom>
      <diagonal/>
    </border>
    <border>
      <left style="thin">
        <color theme="0" tint="-0.25"/>
      </left>
      <right/>
      <top style="thin">
        <color theme="0" tint="-0.25"/>
      </top>
      <bottom style="thick">
        <color auto="1"/>
      </bottom>
      <diagonal/>
    </border>
    <border>
      <left style="thin">
        <color theme="0" tint="-0.25"/>
      </left>
      <right style="thick">
        <color auto="1"/>
      </right>
      <top/>
      <bottom style="thick">
        <color auto="1"/>
      </bottom>
      <diagonal/>
    </border>
    <border>
      <left style="thick">
        <color auto="1"/>
      </left>
      <right style="thin">
        <color theme="0" tint="-0.25"/>
      </right>
      <top style="thick">
        <color auto="1"/>
      </top>
      <bottom style="thin">
        <color theme="0" tint="-0.25"/>
      </bottom>
      <diagonal/>
    </border>
    <border>
      <left style="thin">
        <color theme="0" tint="-0.25"/>
      </left>
      <right style="thick">
        <color auto="1"/>
      </right>
      <top style="thick">
        <color auto="1"/>
      </top>
      <bottom style="thin">
        <color theme="0" tint="-0.25"/>
      </bottom>
      <diagonal/>
    </border>
    <border>
      <left style="thin">
        <color theme="0" tint="-0.25"/>
      </left>
      <right style="thick">
        <color auto="1"/>
      </right>
      <top style="thin">
        <color theme="0" tint="-0.25"/>
      </top>
      <bottom style="thin">
        <color theme="0" tint="-0.25"/>
      </bottom>
      <diagonal/>
    </border>
    <border>
      <left style="thin">
        <color theme="0" tint="-0.25"/>
      </left>
      <right style="thick">
        <color auto="1"/>
      </right>
      <top style="thin">
        <color theme="0" tint="-0.25"/>
      </top>
      <bottom style="thick">
        <color auto="1"/>
      </bottom>
      <diagonal/>
    </border>
    <border>
      <left style="thin">
        <color theme="0" tint="-0.25"/>
      </left>
      <right style="thin">
        <color theme="0" tint="-0.25"/>
      </right>
      <top style="thick">
        <color auto="1"/>
      </top>
      <bottom style="thin">
        <color theme="0" tint="-0.25"/>
      </bottom>
      <diagonal/>
    </border>
    <border>
      <left style="thick">
        <color auto="1"/>
      </left>
      <right/>
      <top style="thick">
        <color auto="1"/>
      </top>
      <bottom style="thin">
        <color theme="0" tint="-0.25"/>
      </bottom>
      <diagonal/>
    </border>
    <border>
      <left/>
      <right/>
      <top style="thick">
        <color auto="1"/>
      </top>
      <bottom style="thin">
        <color theme="0" tint="-0.25"/>
      </bottom>
      <diagonal/>
    </border>
    <border>
      <left/>
      <right style="thick">
        <color auto="1"/>
      </right>
      <top style="thick">
        <color auto="1"/>
      </top>
      <bottom style="thin">
        <color theme="0" tint="-0.25"/>
      </bottom>
      <diagonal/>
    </border>
    <border>
      <left style="thick">
        <color auto="1"/>
      </left>
      <right style="thin">
        <color theme="0" tint="-0.25"/>
      </right>
      <top style="thin">
        <color theme="0" tint="-0.25"/>
      </top>
      <bottom/>
      <diagonal/>
    </border>
    <border>
      <left style="thick">
        <color auto="1"/>
      </left>
      <right style="thin">
        <color theme="0" tint="-0.25"/>
      </right>
      <top/>
      <bottom/>
      <diagonal/>
    </border>
    <border>
      <left style="thick">
        <color auto="1"/>
      </left>
      <right style="thin">
        <color theme="0" tint="-0.25"/>
      </right>
      <top/>
      <bottom style="thick">
        <color auto="1"/>
      </bottom>
      <diagonal/>
    </border>
    <border>
      <left style="thick">
        <color theme="1"/>
      </left>
      <right style="thin">
        <color theme="0" tint="-0.25"/>
      </right>
      <top style="thick">
        <color theme="1"/>
      </top>
      <bottom style="thin">
        <color theme="0" tint="-0.25"/>
      </bottom>
      <diagonal/>
    </border>
    <border>
      <left style="thin">
        <color theme="0" tint="-0.25"/>
      </left>
      <right style="thin">
        <color theme="0" tint="-0.25"/>
      </right>
      <top style="thick">
        <color theme="1"/>
      </top>
      <bottom style="thin">
        <color theme="0" tint="-0.25"/>
      </bottom>
      <diagonal/>
    </border>
    <border>
      <left style="thin">
        <color theme="0" tint="-0.25"/>
      </left>
      <right style="thick">
        <color theme="1"/>
      </right>
      <top style="thick">
        <color theme="1"/>
      </top>
      <bottom style="thin">
        <color theme="0" tint="-0.25"/>
      </bottom>
      <diagonal/>
    </border>
    <border>
      <left style="thick">
        <color theme="1"/>
      </left>
      <right style="thin">
        <color theme="0" tint="-0.25"/>
      </right>
      <top style="thin">
        <color theme="0" tint="-0.25"/>
      </top>
      <bottom style="thin">
        <color theme="0" tint="-0.25"/>
      </bottom>
      <diagonal/>
    </border>
    <border>
      <left style="thin">
        <color theme="0" tint="-0.25"/>
      </left>
      <right style="thick">
        <color theme="1"/>
      </right>
      <top style="thin">
        <color theme="0" tint="-0.25"/>
      </top>
      <bottom style="thin">
        <color theme="0" tint="-0.25"/>
      </bottom>
      <diagonal/>
    </border>
    <border>
      <left style="thick">
        <color theme="1"/>
      </left>
      <right style="thin">
        <color theme="0" tint="-0.25"/>
      </right>
      <top style="thin">
        <color theme="0" tint="-0.25"/>
      </top>
      <bottom style="thick">
        <color theme="1"/>
      </bottom>
      <diagonal/>
    </border>
    <border>
      <left style="thin">
        <color theme="0" tint="-0.25"/>
      </left>
      <right style="thin">
        <color theme="0" tint="-0.25"/>
      </right>
      <top style="thin">
        <color theme="0" tint="-0.25"/>
      </top>
      <bottom style="thick">
        <color theme="1"/>
      </bottom>
      <diagonal/>
    </border>
    <border>
      <left style="thin">
        <color theme="0" tint="-0.25"/>
      </left>
      <right style="thick">
        <color theme="1"/>
      </right>
      <top style="thin">
        <color theme="0" tint="-0.25"/>
      </top>
      <bottom style="thick">
        <color theme="1"/>
      </bottom>
      <diagonal/>
    </border>
    <border>
      <left style="thin">
        <color theme="0" tint="-0.25"/>
      </left>
      <right style="thin">
        <color theme="0" tint="-0.25"/>
      </right>
      <top style="thin">
        <color theme="0" tint="-0.25"/>
      </top>
      <bottom/>
      <diagonal/>
    </border>
    <border>
      <left/>
      <right/>
      <top style="thin">
        <color theme="0" tint="-0.25"/>
      </top>
      <bottom style="thin">
        <color theme="0" tint="-0.25"/>
      </bottom>
      <diagonal/>
    </border>
    <border>
      <left/>
      <right style="thin">
        <color theme="0" tint="-0.25"/>
      </right>
      <top style="thin">
        <color theme="0" tint="-0.25"/>
      </top>
      <bottom style="thin">
        <color theme="0" tint="-0.25"/>
      </bottom>
      <diagonal/>
    </border>
    <border>
      <left/>
      <right style="thick">
        <color auto="1"/>
      </right>
      <top style="thin">
        <color theme="0" tint="-0.25"/>
      </top>
      <bottom style="thin">
        <color theme="0" tint="-0.25"/>
      </bottom>
      <diagonal/>
    </border>
    <border>
      <left style="thin">
        <color theme="0" tint="-0.25"/>
      </left>
      <right style="thin">
        <color theme="0" tint="-0.25"/>
      </right>
      <top/>
      <bottom/>
      <diagonal/>
    </border>
    <border>
      <left style="thin">
        <color theme="0" tint="-0.25"/>
      </left>
      <right/>
      <top style="thin">
        <color theme="0" tint="-0.25"/>
      </top>
      <bottom/>
      <diagonal/>
    </border>
    <border>
      <left/>
      <right/>
      <top style="thin">
        <color theme="0" tint="-0.25"/>
      </top>
      <bottom/>
      <diagonal/>
    </border>
    <border>
      <left style="dashed">
        <color theme="0" tint="-0.5"/>
      </left>
      <right/>
      <top style="dashed">
        <color theme="0" tint="-0.5"/>
      </top>
      <bottom/>
      <diagonal/>
    </border>
    <border>
      <left/>
      <right/>
      <top style="dashed">
        <color theme="0" tint="-0.5"/>
      </top>
      <bottom/>
      <diagonal/>
    </border>
    <border>
      <left/>
      <right style="dashed">
        <color theme="0" tint="-0.5"/>
      </right>
      <top style="dashed">
        <color theme="0" tint="-0.5"/>
      </top>
      <bottom/>
      <diagonal/>
    </border>
    <border>
      <left style="thin">
        <color theme="0" tint="-0.25"/>
      </left>
      <right style="thin">
        <color theme="0" tint="-0.25"/>
      </right>
      <top style="thick">
        <color auto="1"/>
      </top>
      <bottom/>
      <diagonal/>
    </border>
    <border>
      <left style="dashed">
        <color theme="0" tint="-0.5"/>
      </left>
      <right/>
      <top/>
      <bottom/>
      <diagonal/>
    </border>
    <border>
      <left/>
      <right style="dashed">
        <color theme="0" tint="-0.5"/>
      </right>
      <top/>
      <bottom/>
      <diagonal/>
    </border>
    <border>
      <left style="thin">
        <color theme="0" tint="-0.25"/>
      </left>
      <right/>
      <top/>
      <bottom/>
      <diagonal/>
    </border>
    <border>
      <left/>
      <right style="thick">
        <color theme="1"/>
      </right>
      <top style="thin">
        <color theme="0" tint="-0.25"/>
      </top>
      <bottom/>
      <diagonal/>
    </border>
    <border>
      <left/>
      <right/>
      <top/>
      <bottom style="thin">
        <color theme="0" tint="-0.25"/>
      </bottom>
      <diagonal/>
    </border>
    <border>
      <left/>
      <right style="thick">
        <color theme="1"/>
      </right>
      <top/>
      <bottom style="thin">
        <color theme="0" tint="-0.25"/>
      </bottom>
      <diagonal/>
    </border>
    <border>
      <left style="thick">
        <color auto="1"/>
      </left>
      <right/>
      <top style="thin">
        <color theme="0" tint="-0.25"/>
      </top>
      <bottom/>
      <diagonal/>
    </border>
    <border>
      <left/>
      <right style="thick">
        <color auto="1"/>
      </right>
      <top style="thin">
        <color theme="0" tint="-0.25"/>
      </top>
      <bottom/>
      <diagonal/>
    </border>
    <border>
      <left style="thick">
        <color auto="1"/>
      </left>
      <right/>
      <top/>
      <bottom/>
      <diagonal/>
    </border>
    <border>
      <left/>
      <right style="thick">
        <color auto="1"/>
      </right>
      <top/>
      <bottom/>
      <diagonal/>
    </border>
    <border>
      <left style="dashed">
        <color theme="0" tint="-0.5"/>
      </left>
      <right/>
      <top/>
      <bottom style="dashed">
        <color theme="0" tint="-0.25"/>
      </bottom>
      <diagonal/>
    </border>
    <border>
      <left/>
      <right/>
      <top/>
      <bottom style="dashed">
        <color theme="0" tint="-0.25"/>
      </bottom>
      <diagonal/>
    </border>
    <border>
      <left/>
      <right style="dashed">
        <color theme="0" tint="-0.5"/>
      </right>
      <top/>
      <bottom style="dashed">
        <color theme="0" tint="-0.25"/>
      </bottom>
      <diagonal/>
    </border>
    <border>
      <left style="thick">
        <color auto="1"/>
      </left>
      <right/>
      <top/>
      <bottom style="thick">
        <color auto="1"/>
      </bottom>
      <diagonal/>
    </border>
    <border>
      <left/>
      <right/>
      <top/>
      <bottom style="thick">
        <color auto="1"/>
      </bottom>
      <diagonal/>
    </border>
    <border>
      <left/>
      <right style="thick">
        <color theme="1"/>
      </right>
      <top/>
      <bottom style="thick">
        <color auto="1"/>
      </bottom>
      <diagonal/>
    </border>
    <border>
      <left/>
      <right style="thin">
        <color theme="0" tint="-0.25"/>
      </right>
      <top style="thick">
        <color auto="1"/>
      </top>
      <bottom style="thin">
        <color theme="0" tint="-0.25"/>
      </bottom>
      <diagonal/>
    </border>
    <border>
      <left/>
      <right style="double">
        <color auto="1"/>
      </right>
      <top style="thick">
        <color auto="1"/>
      </top>
      <bottom style="thin">
        <color theme="0" tint="-0.25"/>
      </bottom>
      <diagonal/>
    </border>
    <border>
      <left style="thin">
        <color theme="0" tint="-0.25"/>
      </left>
      <right style="double">
        <color auto="1"/>
      </right>
      <top style="thick">
        <color auto="1"/>
      </top>
      <bottom style="thin">
        <color theme="0" tint="-0.25"/>
      </bottom>
      <diagonal/>
    </border>
    <border>
      <left style="thin">
        <color theme="0" tint="-0.25"/>
      </left>
      <right style="double">
        <color auto="1"/>
      </right>
      <top style="thin">
        <color theme="0" tint="-0.25"/>
      </top>
      <bottom style="thin">
        <color theme="0" tint="-0.25"/>
      </bottom>
      <diagonal/>
    </border>
    <border>
      <left style="thin">
        <color theme="0" tint="-0.25"/>
      </left>
      <right style="double">
        <color auto="1"/>
      </right>
      <top style="thin">
        <color theme="0" tint="-0.25"/>
      </top>
      <bottom/>
      <diagonal/>
    </border>
    <border>
      <left/>
      <right style="thin">
        <color theme="0" tint="-0.25"/>
      </right>
      <top style="thin">
        <color theme="0" tint="-0.25"/>
      </top>
      <bottom/>
      <diagonal/>
    </border>
    <border>
      <left/>
      <right style="double">
        <color auto="1"/>
      </right>
      <top style="thin">
        <color theme="0" tint="-0.25"/>
      </top>
      <bottom/>
      <diagonal/>
    </border>
    <border>
      <left/>
      <right style="thin">
        <color theme="0" tint="-0.25"/>
      </right>
      <top/>
      <bottom/>
      <diagonal/>
    </border>
    <border>
      <left/>
      <right style="double">
        <color auto="1"/>
      </right>
      <top/>
      <bottom style="thin">
        <color theme="0" tint="-0.25"/>
      </bottom>
      <diagonal/>
    </border>
    <border>
      <left style="thin">
        <color theme="0" tint="-0.25"/>
      </left>
      <right/>
      <top style="thick">
        <color auto="1"/>
      </top>
      <bottom style="thin">
        <color theme="0" tint="-0.25"/>
      </bottom>
      <diagonal/>
    </border>
    <border diagonalUp="1">
      <left style="thin">
        <color theme="0" tint="-0.25"/>
      </left>
      <right style="thin">
        <color theme="0" tint="-0.25"/>
      </right>
      <top style="thin">
        <color theme="0" tint="-0.25"/>
      </top>
      <bottom style="thick">
        <color auto="1"/>
      </bottom>
      <diagonal style="thin">
        <color theme="0" tint="-0.25"/>
      </diagonal>
    </border>
    <border>
      <left/>
      <right style="double">
        <color auto="1"/>
      </right>
      <top/>
      <bottom/>
      <diagonal/>
    </border>
    <border>
      <left/>
      <right style="thin">
        <color theme="0" tint="-0.25"/>
      </right>
      <top/>
      <bottom style="thin">
        <color theme="0" tint="-0.25"/>
      </bottom>
      <diagonal/>
    </border>
    <border>
      <left style="thick">
        <color auto="1"/>
      </left>
      <right style="thin">
        <color theme="0" tint="-0.25"/>
      </right>
      <top style="thin">
        <color theme="0" tint="-0.25"/>
      </top>
      <bottom style="thin">
        <color auto="1"/>
      </bottom>
      <diagonal/>
    </border>
    <border>
      <left style="thin">
        <color theme="0" tint="-0.25"/>
      </left>
      <right style="thin">
        <color theme="0" tint="-0.25"/>
      </right>
      <top style="thin">
        <color theme="0" tint="-0.25"/>
      </top>
      <bottom style="thin">
        <color auto="1"/>
      </bottom>
      <diagonal/>
    </border>
    <border>
      <left style="thin">
        <color theme="0" tint="-0.25"/>
      </left>
      <right/>
      <top style="thin">
        <color theme="0" tint="-0.25"/>
      </top>
      <bottom style="thin">
        <color auto="1"/>
      </bottom>
      <diagonal/>
    </border>
    <border>
      <left/>
      <right/>
      <top style="thin">
        <color theme="0" tint="-0.25"/>
      </top>
      <bottom style="thin">
        <color auto="1"/>
      </bottom>
      <diagonal/>
    </border>
    <border>
      <left/>
      <right style="thin">
        <color theme="0" tint="-0.25"/>
      </right>
      <top style="thin">
        <color theme="0" tint="-0.25"/>
      </top>
      <bottom style="thin">
        <color auto="1"/>
      </bottom>
      <diagonal/>
    </border>
    <border>
      <left style="thin">
        <color theme="0" tint="-0.25"/>
      </left>
      <right style="thick">
        <color auto="1"/>
      </right>
      <top style="thin">
        <color theme="0" tint="-0.25"/>
      </top>
      <bottom style="thin">
        <color auto="1"/>
      </bottom>
      <diagonal/>
    </border>
    <border>
      <left style="thick">
        <color auto="1"/>
      </left>
      <right/>
      <top/>
      <bottom style="thin">
        <color theme="0" tint="-0.25"/>
      </bottom>
      <diagonal/>
    </border>
    <border>
      <left style="thick">
        <color auto="1"/>
      </left>
      <right style="thin">
        <color theme="0" tint="-0.25"/>
      </right>
      <top/>
      <bottom style="double">
        <color auto="1"/>
      </bottom>
      <diagonal/>
    </border>
    <border>
      <left style="thin">
        <color theme="0" tint="-0.25"/>
      </left>
      <right style="thin">
        <color theme="0" tint="-0.25"/>
      </right>
      <top/>
      <bottom style="double">
        <color auto="1"/>
      </bottom>
      <diagonal/>
    </border>
    <border>
      <left style="thin">
        <color theme="0" tint="-0.25"/>
      </left>
      <right/>
      <top/>
      <bottom style="double">
        <color auto="1"/>
      </bottom>
      <diagonal/>
    </border>
    <border>
      <left style="thin">
        <color theme="0" tint="-0.25"/>
      </left>
      <right style="thick">
        <color auto="1"/>
      </right>
      <top style="thick">
        <color auto="1"/>
      </top>
      <bottom/>
      <diagonal/>
    </border>
    <border>
      <left/>
      <right/>
      <top style="dashed">
        <color theme="0" tint="-0.25"/>
      </top>
      <bottom/>
      <diagonal/>
    </border>
    <border>
      <left style="thin">
        <color auto="1"/>
      </left>
      <right style="thin">
        <color theme="0" tint="-0.25"/>
      </right>
      <top style="thin">
        <color auto="1"/>
      </top>
      <bottom/>
      <diagonal/>
    </border>
    <border>
      <left style="thin">
        <color theme="0" tint="-0.25"/>
      </left>
      <right style="thin">
        <color theme="0" tint="-0.25"/>
      </right>
      <top style="thin">
        <color auto="1"/>
      </top>
      <bottom/>
      <diagonal/>
    </border>
    <border>
      <left style="thin">
        <color theme="0" tint="-0.25"/>
      </left>
      <right style="thin">
        <color auto="1"/>
      </right>
      <top style="thin">
        <color auto="1"/>
      </top>
      <bottom/>
      <diagonal/>
    </border>
    <border>
      <left style="thick">
        <color auto="1"/>
      </left>
      <right style="thin">
        <color theme="0" tint="-0.25"/>
      </right>
      <top style="double">
        <color auto="1"/>
      </top>
      <bottom style="thick">
        <color auto="1"/>
      </bottom>
      <diagonal/>
    </border>
    <border>
      <left style="thin">
        <color theme="0" tint="-0.25"/>
      </left>
      <right style="thin">
        <color theme="0" tint="-0.25"/>
      </right>
      <top style="double">
        <color auto="1"/>
      </top>
      <bottom style="thick">
        <color auto="1"/>
      </bottom>
      <diagonal/>
    </border>
    <border>
      <left style="thin">
        <color theme="0" tint="-0.25"/>
      </left>
      <right/>
      <top style="double">
        <color auto="1"/>
      </top>
      <bottom style="thick">
        <color auto="1"/>
      </bottom>
      <diagonal/>
    </border>
    <border>
      <left style="thin">
        <color theme="0" tint="-0.25"/>
      </left>
      <right style="thin">
        <color theme="0" tint="-0.25"/>
      </right>
      <top/>
      <bottom style="thick">
        <color auto="1"/>
      </bottom>
      <diagonal/>
    </border>
    <border>
      <left style="thin">
        <color auto="1"/>
      </left>
      <right style="thin">
        <color theme="0" tint="-0.25"/>
      </right>
      <top/>
      <bottom style="thin">
        <color auto="1"/>
      </bottom>
      <diagonal/>
    </border>
    <border>
      <left style="thin">
        <color theme="0" tint="-0.25"/>
      </left>
      <right style="thin">
        <color theme="0" tint="-0.25"/>
      </right>
      <top/>
      <bottom style="thin">
        <color auto="1"/>
      </bottom>
      <diagonal/>
    </border>
    <border>
      <left style="thin">
        <color theme="0" tint="-0.25"/>
      </left>
      <right style="thin">
        <color auto="1"/>
      </right>
      <top/>
      <bottom style="thin">
        <color auto="1"/>
      </bottom>
      <diagonal/>
    </border>
    <border>
      <left/>
      <right style="thick">
        <color auto="1"/>
      </right>
      <top/>
      <bottom style="thick">
        <color auto="1"/>
      </bottom>
      <diagonal/>
    </border>
    <border>
      <left style="thin">
        <color theme="0" tint="-0.25"/>
      </left>
      <right/>
      <top/>
      <bottom style="thick">
        <color auto="1"/>
      </bottom>
      <diagonal/>
    </border>
    <border>
      <left/>
      <right style="double">
        <color auto="1"/>
      </right>
      <top/>
      <bottom style="thick">
        <color auto="1"/>
      </bottom>
      <diagonal/>
    </border>
    <border>
      <left/>
      <right style="thin">
        <color theme="0" tint="-0.25"/>
      </right>
      <top style="thin">
        <color theme="0" tint="-0.25"/>
      </top>
      <bottom style="thick">
        <color auto="1"/>
      </bottom>
      <diagonal/>
    </border>
    <border>
      <left style="thin">
        <color theme="0" tint="-0.25"/>
      </left>
      <right style="double">
        <color auto="1"/>
      </right>
      <top style="thin">
        <color theme="0" tint="-0.25"/>
      </top>
      <bottom style="thick">
        <color auto="1"/>
      </bottom>
      <diagonal/>
    </border>
    <border>
      <left/>
      <right style="thin">
        <color auto="1"/>
      </right>
      <top style="thick">
        <color auto="1"/>
      </top>
      <bottom style="thin">
        <color theme="0" tint="-0.25"/>
      </bottom>
      <diagonal/>
    </border>
    <border>
      <left/>
      <right style="thin">
        <color auto="1"/>
      </right>
      <top style="thin">
        <color theme="0" tint="-0.25"/>
      </top>
      <bottom/>
      <diagonal/>
    </border>
    <border>
      <left/>
      <right style="thin">
        <color theme="0" tint="-0.25"/>
      </right>
      <top/>
      <bottom style="thick">
        <color auto="1"/>
      </bottom>
      <diagonal/>
    </border>
    <border>
      <left/>
      <right style="thin">
        <color auto="1"/>
      </right>
      <top/>
      <bottom style="thick">
        <color auto="1"/>
      </bottom>
      <diagonal/>
    </border>
    <border>
      <left style="thick">
        <color auto="1"/>
      </left>
      <right style="thin">
        <color theme="0" tint="-0.25"/>
      </right>
      <top style="double">
        <color auto="1"/>
      </top>
      <bottom style="thin">
        <color theme="0" tint="-0.25"/>
      </bottom>
      <diagonal/>
    </border>
    <border>
      <left style="thin">
        <color theme="0" tint="-0.25"/>
      </left>
      <right style="thin">
        <color theme="0" tint="-0.25"/>
      </right>
      <top style="double">
        <color auto="1"/>
      </top>
      <bottom style="thin">
        <color theme="0" tint="-0.25"/>
      </bottom>
      <diagonal/>
    </border>
    <border>
      <left style="thin">
        <color theme="0" tint="-0.25"/>
      </left>
      <right style="double">
        <color auto="1"/>
      </right>
      <top style="double">
        <color auto="1"/>
      </top>
      <bottom style="thin">
        <color theme="0" tint="-0.25"/>
      </bottom>
      <diagonal/>
    </border>
    <border>
      <left/>
      <right style="thin">
        <color theme="0" tint="-0.25"/>
      </right>
      <top style="double">
        <color auto="1"/>
      </top>
      <bottom style="thin">
        <color theme="0" tint="-0.25"/>
      </bottom>
      <diagonal/>
    </border>
    <border>
      <left style="thin">
        <color theme="0" tint="-0.25"/>
      </left>
      <right style="thin">
        <color theme="0" tint="-0.25"/>
      </right>
      <top style="double">
        <color auto="1"/>
      </top>
      <bottom/>
      <diagonal/>
    </border>
    <border>
      <left style="thin">
        <color theme="0" tint="-0.25"/>
      </left>
      <right style="thick">
        <color auto="1"/>
      </right>
      <top style="double">
        <color auto="1"/>
      </top>
      <bottom style="thin">
        <color theme="0" tint="-0.2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9" borderId="113"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114" applyNumberFormat="0" applyFill="0" applyAlignment="0" applyProtection="0">
      <alignment vertical="center"/>
    </xf>
    <xf numFmtId="0" fontId="34" fillId="0" borderId="114" applyNumberFormat="0" applyFill="0" applyAlignment="0" applyProtection="0">
      <alignment vertical="center"/>
    </xf>
    <xf numFmtId="0" fontId="35" fillId="0" borderId="115" applyNumberFormat="0" applyFill="0" applyAlignment="0" applyProtection="0">
      <alignment vertical="center"/>
    </xf>
    <xf numFmtId="0" fontId="35" fillId="0" borderId="0" applyNumberFormat="0" applyFill="0" applyBorder="0" applyAlignment="0" applyProtection="0">
      <alignment vertical="center"/>
    </xf>
    <xf numFmtId="0" fontId="36" fillId="10" borderId="116" applyNumberFormat="0" applyAlignment="0" applyProtection="0">
      <alignment vertical="center"/>
    </xf>
    <xf numFmtId="0" fontId="37" fillId="11" borderId="117" applyNumberFormat="0" applyAlignment="0" applyProtection="0">
      <alignment vertical="center"/>
    </xf>
    <xf numFmtId="0" fontId="38" fillId="11" borderId="116" applyNumberFormat="0" applyAlignment="0" applyProtection="0">
      <alignment vertical="center"/>
    </xf>
    <xf numFmtId="0" fontId="39" fillId="12" borderId="118" applyNumberFormat="0" applyAlignment="0" applyProtection="0">
      <alignment vertical="center"/>
    </xf>
    <xf numFmtId="0" fontId="40" fillId="0" borderId="119" applyNumberFormat="0" applyFill="0" applyAlignment="0" applyProtection="0">
      <alignment vertical="center"/>
    </xf>
    <xf numFmtId="0" fontId="41" fillId="0" borderId="120" applyNumberFormat="0" applyFill="0" applyAlignment="0" applyProtection="0">
      <alignment vertical="center"/>
    </xf>
    <xf numFmtId="0" fontId="42" fillId="13" borderId="0" applyNumberFormat="0" applyBorder="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6" fillId="17" borderId="0" applyNumberFormat="0" applyBorder="0" applyAlignment="0" applyProtection="0">
      <alignment vertical="center"/>
    </xf>
    <xf numFmtId="0" fontId="46" fillId="18"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6" fillId="21" borderId="0" applyNumberFormat="0" applyBorder="0" applyAlignment="0" applyProtection="0">
      <alignment vertical="center"/>
    </xf>
    <xf numFmtId="0" fontId="46" fillId="22"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6" fillId="29" borderId="0" applyNumberFormat="0" applyBorder="0" applyAlignment="0" applyProtection="0">
      <alignment vertical="center"/>
    </xf>
    <xf numFmtId="0" fontId="46"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6" fillId="33" borderId="0" applyNumberFormat="0" applyBorder="0" applyAlignment="0" applyProtection="0">
      <alignment vertical="center"/>
    </xf>
    <xf numFmtId="0" fontId="46" fillId="34" borderId="0" applyNumberFormat="0" applyBorder="0" applyAlignment="0" applyProtection="0">
      <alignment vertical="center"/>
    </xf>
    <xf numFmtId="0" fontId="45" fillId="35" borderId="0" applyNumberFormat="0" applyBorder="0" applyAlignment="0" applyProtection="0">
      <alignment vertical="center"/>
    </xf>
    <xf numFmtId="0" fontId="45" fillId="36" borderId="0" applyNumberFormat="0" applyBorder="0" applyAlignment="0" applyProtection="0">
      <alignment vertical="center"/>
    </xf>
    <xf numFmtId="0" fontId="46" fillId="37" borderId="0" applyNumberFormat="0" applyBorder="0" applyAlignment="0" applyProtection="0">
      <alignment vertical="center"/>
    </xf>
    <xf numFmtId="0" fontId="46" fillId="38" borderId="0" applyNumberFormat="0" applyBorder="0" applyAlignment="0" applyProtection="0">
      <alignment vertical="center"/>
    </xf>
    <xf numFmtId="0" fontId="45" fillId="39" borderId="0" applyNumberFormat="0" applyBorder="0" applyAlignment="0" applyProtection="0">
      <alignment vertical="center"/>
    </xf>
  </cellStyleXfs>
  <cellXfs count="527">
    <xf numFmtId="0" fontId="0" fillId="0" borderId="0" xfId="0">
      <alignment vertical="center"/>
    </xf>
    <xf numFmtId="0" fontId="1" fillId="0" borderId="0" xfId="0" applyFont="1" applyFill="1" applyAlignment="1">
      <alignmen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vertical="center"/>
    </xf>
    <xf numFmtId="0" fontId="1" fillId="0"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1" fillId="4" borderId="8"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4" fillId="4" borderId="9" xfId="0" applyFont="1" applyFill="1" applyBorder="1" applyAlignment="1">
      <alignment horizontal="left" vertical="center" wrapText="1"/>
    </xf>
    <xf numFmtId="0" fontId="1" fillId="4" borderId="11" xfId="0" applyFont="1" applyFill="1" applyBorder="1" applyAlignment="1">
      <alignment horizontal="center" vertical="center" wrapText="1"/>
    </xf>
    <xf numFmtId="0" fontId="5" fillId="0" borderId="0" xfId="0" applyFont="1" applyFill="1" applyAlignment="1">
      <alignment vertical="center" wrapText="1"/>
    </xf>
    <xf numFmtId="0" fontId="1" fillId="4" borderId="12"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4" fillId="3" borderId="9" xfId="0" applyFont="1" applyFill="1" applyBorder="1" applyAlignment="1">
      <alignment horizontal="left" vertical="center" wrapText="1"/>
    </xf>
    <xf numFmtId="0" fontId="1" fillId="3" borderId="11"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4" fillId="3" borderId="14" xfId="0" applyFont="1" applyFill="1" applyBorder="1" applyAlignment="1">
      <alignment horizontal="left" vertical="center" wrapText="1"/>
    </xf>
    <xf numFmtId="0" fontId="1" fillId="3" borderId="16" xfId="0" applyFont="1" applyFill="1" applyBorder="1" applyAlignment="1">
      <alignment horizontal="center" vertical="center" wrapText="1"/>
    </xf>
    <xf numFmtId="0" fontId="1" fillId="0" borderId="0" xfId="0" applyFont="1" applyFill="1" applyAlignment="1">
      <alignment horizontal="left" vertical="center"/>
    </xf>
    <xf numFmtId="0" fontId="2" fillId="2" borderId="17" xfId="0" applyFont="1" applyFill="1" applyBorder="1" applyAlignment="1">
      <alignment horizontal="center" vertical="center"/>
    </xf>
    <xf numFmtId="0" fontId="2" fillId="2" borderId="18" xfId="0" applyFont="1" applyFill="1" applyBorder="1" applyAlignment="1">
      <alignment horizontal="center" vertical="center"/>
    </xf>
    <xf numFmtId="0" fontId="2" fillId="0" borderId="0" xfId="0" applyFont="1" applyFill="1" applyBorder="1" applyAlignment="1">
      <alignment vertical="center"/>
    </xf>
    <xf numFmtId="0" fontId="6" fillId="0" borderId="0" xfId="0" applyFont="1" applyFill="1" applyBorder="1" applyAlignment="1">
      <alignment vertical="center" wrapText="1"/>
    </xf>
    <xf numFmtId="0" fontId="5" fillId="0" borderId="0" xfId="0" applyFont="1" applyFill="1" applyAlignment="1">
      <alignment vertical="center"/>
    </xf>
    <xf numFmtId="0" fontId="3" fillId="3" borderId="8" xfId="0" applyFont="1" applyFill="1" applyBorder="1" applyAlignment="1">
      <alignment horizontal="center" vertical="center"/>
    </xf>
    <xf numFmtId="0" fontId="3" fillId="3" borderId="19" xfId="0" applyFont="1" applyFill="1" applyBorder="1" applyAlignment="1">
      <alignment vertical="center"/>
    </xf>
    <xf numFmtId="0" fontId="3" fillId="0" borderId="0" xfId="0" applyFont="1" applyFill="1" applyBorder="1" applyAlignment="1">
      <alignment vertical="center"/>
    </xf>
    <xf numFmtId="0" fontId="7" fillId="0" borderId="0" xfId="0" applyFont="1" applyFill="1" applyAlignment="1">
      <alignment vertical="center"/>
    </xf>
    <xf numFmtId="0" fontId="8" fillId="0" borderId="0" xfId="0" applyFont="1" applyFill="1" applyBorder="1" applyAlignment="1">
      <alignment vertical="center"/>
    </xf>
    <xf numFmtId="0" fontId="9" fillId="0" borderId="0" xfId="0" applyFont="1" applyFill="1" applyBorder="1" applyAlignment="1">
      <alignment vertical="center"/>
    </xf>
    <xf numFmtId="0" fontId="1" fillId="4" borderId="8" xfId="0" applyFont="1" applyFill="1" applyBorder="1" applyAlignment="1">
      <alignment horizontal="center" vertical="center"/>
    </xf>
    <xf numFmtId="0" fontId="4" fillId="4" borderId="19" xfId="0" applyFont="1" applyFill="1" applyBorder="1" applyAlignment="1">
      <alignment vertical="center" wrapText="1"/>
    </xf>
    <xf numFmtId="0" fontId="1" fillId="0" borderId="0" xfId="0" applyFont="1" applyFill="1" applyBorder="1" applyAlignment="1">
      <alignment vertical="center" wrapText="1"/>
    </xf>
    <xf numFmtId="0" fontId="5" fillId="0" borderId="0" xfId="0" applyFont="1" applyFill="1" applyBorder="1" applyAlignment="1">
      <alignment vertical="center" wrapText="1"/>
    </xf>
    <xf numFmtId="0" fontId="5" fillId="0" borderId="0" xfId="0" applyFont="1" applyFill="1" applyBorder="1" applyAlignment="1">
      <alignment horizontal="center" vertical="center" wrapText="1"/>
    </xf>
    <xf numFmtId="0" fontId="7" fillId="0" borderId="0" xfId="0" applyFont="1" applyFill="1" applyBorder="1" applyAlignment="1">
      <alignment vertical="center" wrapText="1"/>
    </xf>
    <xf numFmtId="0" fontId="1" fillId="3" borderId="8" xfId="0" applyFont="1" applyFill="1" applyBorder="1" applyAlignment="1">
      <alignment horizontal="center" vertical="center"/>
    </xf>
    <xf numFmtId="0" fontId="4" fillId="3" borderId="19" xfId="0" applyFont="1" applyFill="1" applyBorder="1" applyAlignment="1">
      <alignment vertical="center"/>
    </xf>
    <xf numFmtId="0" fontId="1" fillId="0" borderId="0" xfId="0" applyFont="1" applyFill="1" applyBorder="1" applyAlignment="1">
      <alignment vertical="center"/>
    </xf>
    <xf numFmtId="0" fontId="7" fillId="0" borderId="0" xfId="0" applyFont="1" applyFill="1" applyBorder="1" applyAlignment="1">
      <alignment vertical="center"/>
    </xf>
    <xf numFmtId="0" fontId="4" fillId="4" borderId="19" xfId="0" applyFont="1" applyFill="1" applyBorder="1" applyAlignment="1">
      <alignment vertical="center"/>
    </xf>
    <xf numFmtId="0" fontId="4" fillId="3" borderId="19" xfId="0" applyFont="1" applyFill="1" applyBorder="1" applyAlignment="1">
      <alignment vertical="center" wrapText="1"/>
    </xf>
    <xf numFmtId="0" fontId="1" fillId="4" borderId="13" xfId="0" applyFont="1" applyFill="1" applyBorder="1" applyAlignment="1">
      <alignment horizontal="center" vertical="center"/>
    </xf>
    <xf numFmtId="0" fontId="4" fillId="4" borderId="20" xfId="0" applyFont="1" applyFill="1" applyBorder="1" applyAlignment="1">
      <alignment vertical="center" wrapText="1"/>
    </xf>
    <xf numFmtId="0" fontId="1" fillId="4" borderId="19" xfId="0" applyFont="1" applyFill="1" applyBorder="1" applyAlignment="1">
      <alignment vertical="center"/>
    </xf>
    <xf numFmtId="0" fontId="1" fillId="3" borderId="19" xfId="0" applyFont="1" applyFill="1" applyBorder="1" applyAlignment="1">
      <alignment vertical="center"/>
    </xf>
    <xf numFmtId="0" fontId="1" fillId="3" borderId="19" xfId="0" applyFont="1" applyFill="1" applyBorder="1" applyAlignment="1">
      <alignment vertical="center" wrapText="1"/>
    </xf>
    <xf numFmtId="0" fontId="7" fillId="3" borderId="19" xfId="0" applyFont="1" applyFill="1" applyBorder="1" applyAlignment="1">
      <alignment vertical="center"/>
    </xf>
    <xf numFmtId="0" fontId="7" fillId="4" borderId="8" xfId="0" applyFont="1" applyFill="1" applyBorder="1" applyAlignment="1">
      <alignment horizontal="center" vertical="center"/>
    </xf>
    <xf numFmtId="0" fontId="7" fillId="4" borderId="19" xfId="0" applyFont="1" applyFill="1" applyBorder="1" applyAlignment="1">
      <alignment vertical="center"/>
    </xf>
    <xf numFmtId="0" fontId="1" fillId="3" borderId="13" xfId="0" applyFont="1" applyFill="1" applyBorder="1" applyAlignment="1">
      <alignment horizontal="center" vertical="center"/>
    </xf>
    <xf numFmtId="0" fontId="1" fillId="3" borderId="20" xfId="0" applyFont="1" applyFill="1" applyBorder="1" applyAlignment="1">
      <alignment vertical="center"/>
    </xf>
    <xf numFmtId="0" fontId="2" fillId="2" borderId="21"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9" xfId="0" applyFont="1" applyFill="1" applyBorder="1" applyAlignment="1">
      <alignment horizontal="left" vertical="center"/>
    </xf>
    <xf numFmtId="0" fontId="3" fillId="3" borderId="19" xfId="0" applyFont="1" applyFill="1" applyBorder="1" applyAlignment="1">
      <alignment horizontal="left" vertical="center"/>
    </xf>
    <xf numFmtId="0" fontId="1" fillId="4" borderId="9" xfId="0" applyFont="1" applyFill="1" applyBorder="1" applyAlignment="1">
      <alignment horizontal="center" vertical="center"/>
    </xf>
    <xf numFmtId="0" fontId="4" fillId="4" borderId="19" xfId="0" applyFont="1" applyFill="1" applyBorder="1" applyAlignment="1" applyProtection="1">
      <alignment horizontal="left" vertical="center" wrapText="1"/>
      <protection locked="0"/>
    </xf>
    <xf numFmtId="0" fontId="1" fillId="3" borderId="9" xfId="0" applyFont="1" applyFill="1" applyBorder="1" applyAlignment="1">
      <alignment horizontal="center" vertical="center"/>
    </xf>
    <xf numFmtId="0" fontId="4" fillId="3" borderId="19" xfId="0" applyFont="1" applyFill="1" applyBorder="1" applyAlignment="1" applyProtection="1">
      <alignment horizontal="left" vertical="center" wrapText="1"/>
      <protection locked="0"/>
    </xf>
    <xf numFmtId="0" fontId="1" fillId="4" borderId="4"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5" xfId="0" applyFont="1" applyFill="1" applyBorder="1" applyAlignment="1">
      <alignment horizontal="center" vertical="center" wrapText="1"/>
    </xf>
    <xf numFmtId="0" fontId="4" fillId="4" borderId="5" xfId="0" applyFont="1" applyFill="1" applyBorder="1" applyAlignment="1">
      <alignment horizontal="left" vertical="center" wrapText="1"/>
    </xf>
    <xf numFmtId="0" fontId="4" fillId="4" borderId="7" xfId="0" applyFont="1" applyFill="1" applyBorder="1" applyAlignment="1" applyProtection="1">
      <alignment horizontal="left" vertical="center" wrapText="1"/>
      <protection locked="0"/>
    </xf>
    <xf numFmtId="0" fontId="7" fillId="3" borderId="9" xfId="0" applyFont="1" applyFill="1" applyBorder="1" applyAlignment="1">
      <alignment horizontal="center" vertical="center" wrapText="1"/>
    </xf>
    <xf numFmtId="0" fontId="7" fillId="4" borderId="9" xfId="0" applyFont="1" applyFill="1" applyBorder="1" applyAlignment="1">
      <alignment horizontal="center" vertical="center"/>
    </xf>
    <xf numFmtId="0" fontId="10" fillId="4" borderId="9" xfId="0" applyFont="1" applyFill="1" applyBorder="1" applyAlignment="1">
      <alignment horizontal="center" vertical="center"/>
    </xf>
    <xf numFmtId="0" fontId="7" fillId="4" borderId="9" xfId="0" applyFont="1" applyFill="1" applyBorder="1" applyAlignment="1">
      <alignment horizontal="center" vertical="center" wrapText="1"/>
    </xf>
    <xf numFmtId="0" fontId="11" fillId="4" borderId="9" xfId="0" applyFont="1" applyFill="1" applyBorder="1" applyAlignment="1">
      <alignment horizontal="left" vertical="center" wrapText="1"/>
    </xf>
    <xf numFmtId="0" fontId="11" fillId="4" borderId="19" xfId="0" applyFont="1" applyFill="1" applyBorder="1" applyAlignment="1" applyProtection="1">
      <alignment horizontal="left" vertical="center" wrapText="1"/>
      <protection locked="0"/>
    </xf>
    <xf numFmtId="0" fontId="7" fillId="3" borderId="8" xfId="0" applyFont="1" applyFill="1" applyBorder="1" applyAlignment="1">
      <alignment horizontal="center" vertical="center"/>
    </xf>
    <xf numFmtId="0" fontId="7" fillId="3" borderId="9" xfId="0" applyFont="1" applyFill="1" applyBorder="1" applyAlignment="1">
      <alignment horizontal="center" vertical="center"/>
    </xf>
    <xf numFmtId="0" fontId="10" fillId="3" borderId="9" xfId="0" applyFont="1" applyFill="1" applyBorder="1" applyAlignment="1">
      <alignment horizontal="center" vertical="center"/>
    </xf>
    <xf numFmtId="0" fontId="11" fillId="3" borderId="9" xfId="0" applyFont="1" applyFill="1" applyBorder="1" applyAlignment="1">
      <alignment horizontal="left" vertical="center" wrapText="1"/>
    </xf>
    <xf numFmtId="0" fontId="11" fillId="3" borderId="19" xfId="0" applyFont="1" applyFill="1" applyBorder="1" applyAlignment="1" applyProtection="1">
      <alignment horizontal="left" vertical="center" wrapText="1"/>
      <protection locked="0"/>
    </xf>
    <xf numFmtId="0" fontId="7" fillId="3" borderId="8" xfId="0" applyFont="1" applyFill="1" applyBorder="1" applyAlignment="1">
      <alignment horizontal="center" vertical="center" wrapText="1"/>
    </xf>
    <xf numFmtId="0" fontId="7" fillId="4" borderId="13" xfId="0" applyFont="1" applyFill="1" applyBorder="1" applyAlignment="1">
      <alignment horizontal="center" vertical="center"/>
    </xf>
    <xf numFmtId="0" fontId="7" fillId="4" borderId="14" xfId="0" applyFont="1" applyFill="1" applyBorder="1" applyAlignment="1">
      <alignment horizontal="center" vertical="center"/>
    </xf>
    <xf numFmtId="0" fontId="10" fillId="4" borderId="14" xfId="0" applyFont="1" applyFill="1" applyBorder="1" applyAlignment="1">
      <alignment horizontal="center" vertical="center"/>
    </xf>
    <xf numFmtId="0" fontId="7" fillId="4" borderId="14" xfId="0" applyFont="1" applyFill="1" applyBorder="1" applyAlignment="1">
      <alignment horizontal="center" vertical="center" wrapText="1"/>
    </xf>
    <xf numFmtId="0" fontId="11" fillId="4" borderId="14" xfId="0" applyFont="1" applyFill="1" applyBorder="1" applyAlignment="1">
      <alignment horizontal="left" vertical="center" wrapText="1"/>
    </xf>
    <xf numFmtId="0" fontId="11" fillId="4" borderId="20" xfId="0" applyFont="1" applyFill="1" applyBorder="1" applyAlignment="1" applyProtection="1">
      <alignment horizontal="left" vertical="center" wrapText="1"/>
      <protection locked="0"/>
    </xf>
    <xf numFmtId="0" fontId="12" fillId="4" borderId="9" xfId="0" applyFont="1" applyFill="1" applyBorder="1" applyAlignment="1">
      <alignment horizontal="center" vertical="center"/>
    </xf>
    <xf numFmtId="0" fontId="1" fillId="3" borderId="14" xfId="0" applyFont="1" applyFill="1" applyBorder="1" applyAlignment="1">
      <alignment horizontal="center" vertical="center"/>
    </xf>
    <xf numFmtId="0" fontId="4" fillId="3" borderId="20" xfId="0" applyFont="1" applyFill="1" applyBorder="1" applyAlignment="1" applyProtection="1">
      <alignment horizontal="left" vertical="center" wrapText="1"/>
      <protection locked="0"/>
    </xf>
    <xf numFmtId="0" fontId="3" fillId="3" borderId="19" xfId="0" applyFont="1" applyFill="1" applyBorder="1" applyAlignment="1">
      <alignment horizontal="center" vertical="center"/>
    </xf>
    <xf numFmtId="0" fontId="1" fillId="4" borderId="9" xfId="0" applyFont="1" applyFill="1" applyBorder="1" applyAlignment="1">
      <alignment horizontal="left" vertical="center" wrapText="1"/>
    </xf>
    <xf numFmtId="0" fontId="1" fillId="4" borderId="19" xfId="0" applyFont="1" applyFill="1" applyBorder="1" applyAlignment="1">
      <alignment horizontal="center" vertical="center"/>
    </xf>
    <xf numFmtId="0" fontId="1" fillId="3" borderId="9" xfId="0" applyFont="1" applyFill="1" applyBorder="1" applyAlignment="1">
      <alignment horizontal="left" vertical="center" wrapText="1"/>
    </xf>
    <xf numFmtId="0" fontId="1" fillId="3" borderId="19" xfId="0" applyFont="1" applyFill="1" applyBorder="1" applyAlignment="1">
      <alignment horizontal="center" vertical="center"/>
    </xf>
    <xf numFmtId="0" fontId="1" fillId="4" borderId="14" xfId="0" applyFont="1" applyFill="1" applyBorder="1" applyAlignment="1">
      <alignment horizontal="left" vertical="center" wrapText="1"/>
    </xf>
    <xf numFmtId="0" fontId="1" fillId="4" borderId="14" xfId="0" applyFont="1" applyFill="1" applyBorder="1" applyAlignment="1">
      <alignment horizontal="center" vertical="center"/>
    </xf>
    <xf numFmtId="0" fontId="1" fillId="4" borderId="20" xfId="0" applyFont="1" applyFill="1" applyBorder="1" applyAlignment="1">
      <alignment horizontal="center" vertical="center"/>
    </xf>
    <xf numFmtId="0" fontId="2" fillId="2" borderId="22"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24" xfId="0" applyFont="1" applyFill="1" applyBorder="1" applyAlignment="1">
      <alignment horizontal="center" vertical="center"/>
    </xf>
    <xf numFmtId="0" fontId="3" fillId="3" borderId="19" xfId="0" applyFont="1" applyFill="1" applyBorder="1" applyAlignment="1">
      <alignment horizontal="left" vertical="center" wrapText="1"/>
    </xf>
    <xf numFmtId="0" fontId="1" fillId="4" borderId="19" xfId="0" applyFont="1" applyFill="1" applyBorder="1" applyAlignment="1">
      <alignment horizontal="left" vertical="center" wrapText="1"/>
    </xf>
    <xf numFmtId="0" fontId="1" fillId="3" borderId="25" xfId="0" applyFont="1" applyFill="1" applyBorder="1" applyAlignment="1">
      <alignment horizontal="center" vertical="center"/>
    </xf>
    <xf numFmtId="0" fontId="1" fillId="3" borderId="19" xfId="0" applyFont="1" applyFill="1" applyBorder="1" applyAlignment="1" applyProtection="1">
      <alignment horizontal="left" vertical="center" wrapText="1"/>
      <protection locked="0"/>
    </xf>
    <xf numFmtId="0" fontId="1" fillId="3" borderId="26" xfId="0" applyFont="1" applyFill="1" applyBorder="1" applyAlignment="1">
      <alignment horizontal="center" vertical="center"/>
    </xf>
    <xf numFmtId="0" fontId="1" fillId="4" borderId="19" xfId="0" applyFont="1" applyFill="1" applyBorder="1" applyAlignment="1" applyProtection="1">
      <alignment horizontal="left" vertical="center" wrapText="1"/>
      <protection locked="0"/>
    </xf>
    <xf numFmtId="0" fontId="1" fillId="3" borderId="4" xfId="0" applyFont="1" applyFill="1" applyBorder="1" applyAlignment="1">
      <alignment horizontal="center" vertical="center"/>
    </xf>
    <xf numFmtId="0" fontId="1" fillId="4" borderId="26" xfId="0" applyFont="1" applyFill="1" applyBorder="1" applyAlignment="1">
      <alignment horizontal="center" vertical="center"/>
    </xf>
    <xf numFmtId="0" fontId="1" fillId="4" borderId="25" xfId="0" applyFont="1" applyFill="1" applyBorder="1" applyAlignment="1">
      <alignment horizontal="center" vertical="center"/>
    </xf>
    <xf numFmtId="0" fontId="1" fillId="3" borderId="27" xfId="0" applyFont="1" applyFill="1" applyBorder="1" applyAlignment="1">
      <alignment horizontal="center" vertical="center"/>
    </xf>
    <xf numFmtId="0" fontId="1" fillId="3" borderId="20" xfId="0" applyFont="1" applyFill="1" applyBorder="1" applyAlignment="1" applyProtection="1">
      <alignment horizontal="left" vertical="center" wrapText="1"/>
      <protection locked="0"/>
    </xf>
    <xf numFmtId="0" fontId="13" fillId="0" borderId="0" xfId="0" applyFont="1" applyFill="1" applyAlignment="1">
      <alignment horizontal="center" vertical="center"/>
    </xf>
    <xf numFmtId="0" fontId="3" fillId="3" borderId="17" xfId="0" applyFont="1" applyFill="1" applyBorder="1" applyAlignment="1">
      <alignment horizontal="center" vertical="center"/>
    </xf>
    <xf numFmtId="0" fontId="3" fillId="3" borderId="21" xfId="0" applyFont="1" applyFill="1" applyBorder="1" applyAlignment="1">
      <alignment horizontal="center" vertical="center"/>
    </xf>
    <xf numFmtId="0" fontId="3" fillId="3" borderId="18" xfId="0" applyFont="1" applyFill="1" applyBorder="1" applyAlignment="1">
      <alignment horizontal="left" vertical="center" wrapText="1"/>
    </xf>
    <xf numFmtId="0" fontId="1" fillId="4" borderId="8" xfId="0" applyFont="1" applyFill="1" applyBorder="1" applyAlignment="1" applyProtection="1">
      <alignment horizontal="center" vertical="center"/>
      <protection locked="0"/>
    </xf>
    <xf numFmtId="0" fontId="1" fillId="4" borderId="19" xfId="0" applyFont="1" applyFill="1" applyBorder="1" applyAlignment="1" applyProtection="1">
      <alignment horizontal="left" vertical="center"/>
      <protection locked="0"/>
    </xf>
    <xf numFmtId="0" fontId="14" fillId="0" borderId="0" xfId="0" applyFont="1" applyFill="1" applyAlignment="1">
      <alignment vertical="center"/>
    </xf>
    <xf numFmtId="0" fontId="1" fillId="4" borderId="13" xfId="0" applyFont="1" applyFill="1" applyBorder="1" applyAlignment="1" applyProtection="1">
      <alignment horizontal="center" vertical="center"/>
      <protection locked="0"/>
    </xf>
    <xf numFmtId="0" fontId="1" fillId="4" borderId="20" xfId="0" applyFont="1" applyFill="1" applyBorder="1" applyAlignment="1" applyProtection="1">
      <alignment horizontal="left" vertical="center"/>
      <protection locked="0"/>
    </xf>
    <xf numFmtId="0" fontId="13" fillId="0" borderId="0" xfId="0" applyFont="1" applyFill="1" applyAlignment="1">
      <alignment horizontal="center" vertical="center" wrapText="1"/>
    </xf>
    <xf numFmtId="0" fontId="8" fillId="5" borderId="17" xfId="0" applyFont="1" applyFill="1" applyBorder="1" applyAlignment="1">
      <alignment horizontal="center" vertical="center"/>
    </xf>
    <xf numFmtId="0" fontId="8" fillId="5" borderId="21" xfId="0" applyFont="1" applyFill="1" applyBorder="1" applyAlignment="1">
      <alignment horizontal="center" vertical="center"/>
    </xf>
    <xf numFmtId="0" fontId="8" fillId="5" borderId="18" xfId="0" applyFont="1" applyFill="1" applyBorder="1" applyAlignment="1">
      <alignment horizontal="center" vertical="center"/>
    </xf>
    <xf numFmtId="0" fontId="9" fillId="6" borderId="8" xfId="0" applyFont="1" applyFill="1" applyBorder="1" applyAlignment="1">
      <alignment horizontal="center" vertical="center"/>
    </xf>
    <xf numFmtId="0" fontId="9" fillId="6" borderId="9" xfId="0" applyFont="1" applyFill="1" applyBorder="1" applyAlignment="1">
      <alignment horizontal="center" vertical="center"/>
    </xf>
    <xf numFmtId="0" fontId="9" fillId="6" borderId="19" xfId="0" applyFont="1" applyFill="1" applyBorder="1" applyAlignment="1">
      <alignment horizontal="left" vertical="center"/>
    </xf>
    <xf numFmtId="0" fontId="1" fillId="4" borderId="25" xfId="0" applyFont="1" applyFill="1" applyBorder="1" applyAlignment="1" applyProtection="1">
      <alignment horizontal="center" vertical="center"/>
      <protection locked="0"/>
    </xf>
    <xf numFmtId="0" fontId="1" fillId="4" borderId="19" xfId="0" applyFont="1" applyFill="1" applyBorder="1" applyAlignment="1" applyProtection="1">
      <alignment vertical="center"/>
      <protection locked="0"/>
    </xf>
    <xf numFmtId="0" fontId="1" fillId="4" borderId="26" xfId="0" applyFont="1" applyFill="1" applyBorder="1" applyAlignment="1" applyProtection="1">
      <alignment horizontal="center" vertical="center"/>
      <protection locked="0"/>
    </xf>
    <xf numFmtId="0" fontId="1" fillId="6" borderId="9" xfId="0" applyFont="1" applyFill="1" applyBorder="1" applyAlignment="1">
      <alignment horizontal="center" vertical="center"/>
    </xf>
    <xf numFmtId="0" fontId="1" fillId="6" borderId="19" xfId="0" applyFont="1" applyFill="1" applyBorder="1" applyAlignment="1" applyProtection="1">
      <alignment vertical="center"/>
      <protection locked="0"/>
    </xf>
    <xf numFmtId="0" fontId="1" fillId="4" borderId="4" xfId="0" applyFont="1" applyFill="1" applyBorder="1" applyAlignment="1" applyProtection="1">
      <alignment horizontal="center" vertical="center"/>
      <protection locked="0"/>
    </xf>
    <xf numFmtId="0" fontId="1" fillId="6" borderId="25" xfId="0" applyFont="1" applyFill="1" applyBorder="1" applyAlignment="1" applyProtection="1">
      <alignment horizontal="center" vertical="center"/>
      <protection locked="0"/>
    </xf>
    <xf numFmtId="0" fontId="1" fillId="6" borderId="26" xfId="0" applyFont="1" applyFill="1" applyBorder="1" applyAlignment="1" applyProtection="1">
      <alignment horizontal="center" vertical="center"/>
      <protection locked="0"/>
    </xf>
    <xf numFmtId="0" fontId="1" fillId="6" borderId="4" xfId="0" applyFont="1" applyFill="1" applyBorder="1" applyAlignment="1" applyProtection="1">
      <alignment horizontal="center" vertical="center"/>
      <protection locked="0"/>
    </xf>
    <xf numFmtId="0" fontId="1" fillId="4" borderId="27" xfId="0" applyFont="1" applyFill="1" applyBorder="1" applyAlignment="1" applyProtection="1">
      <alignment horizontal="center" vertical="center"/>
      <protection locked="0"/>
    </xf>
    <xf numFmtId="0" fontId="1" fillId="4" borderId="20" xfId="0" applyFont="1" applyFill="1" applyBorder="1" applyAlignment="1" applyProtection="1">
      <alignment vertical="center"/>
      <protection locked="0"/>
    </xf>
    <xf numFmtId="0" fontId="8" fillId="7" borderId="28" xfId="0" applyFont="1" applyFill="1" applyBorder="1" applyAlignment="1">
      <alignment horizontal="center" vertical="center"/>
    </xf>
    <xf numFmtId="0" fontId="8" fillId="7" borderId="29" xfId="0" applyFont="1" applyFill="1" applyBorder="1" applyAlignment="1">
      <alignment horizontal="center" vertical="center"/>
    </xf>
    <xf numFmtId="0" fontId="8" fillId="7" borderId="30" xfId="0" applyFont="1" applyFill="1" applyBorder="1" applyAlignment="1">
      <alignment horizontal="center" vertical="center"/>
    </xf>
    <xf numFmtId="0" fontId="3" fillId="8" borderId="31" xfId="0" applyFont="1" applyFill="1" applyBorder="1" applyAlignment="1">
      <alignment horizontal="center" vertical="center"/>
    </xf>
    <xf numFmtId="0" fontId="3" fillId="8" borderId="9" xfId="0" applyFont="1" applyFill="1" applyBorder="1" applyAlignment="1">
      <alignment horizontal="center" vertical="center"/>
    </xf>
    <xf numFmtId="0" fontId="3" fillId="8" borderId="32" xfId="0" applyFont="1" applyFill="1" applyBorder="1" applyAlignment="1">
      <alignment vertical="center"/>
    </xf>
    <xf numFmtId="0" fontId="1" fillId="4" borderId="31" xfId="0" applyFont="1" applyFill="1" applyBorder="1" applyAlignment="1" applyProtection="1">
      <alignment horizontal="center" vertical="center"/>
      <protection locked="0"/>
    </xf>
    <xf numFmtId="0" fontId="1" fillId="4" borderId="32" xfId="0" applyFont="1" applyFill="1" applyBorder="1" applyAlignment="1" applyProtection="1">
      <alignment vertical="center"/>
      <protection locked="0"/>
    </xf>
    <xf numFmtId="0" fontId="1" fillId="8" borderId="9" xfId="0" applyFont="1" applyFill="1" applyBorder="1" applyAlignment="1">
      <alignment horizontal="center" vertical="center"/>
    </xf>
    <xf numFmtId="0" fontId="1" fillId="8" borderId="32" xfId="0" applyFont="1" applyFill="1" applyBorder="1" applyAlignment="1" applyProtection="1">
      <alignment vertical="center"/>
      <protection locked="0"/>
    </xf>
    <xf numFmtId="0" fontId="1" fillId="4" borderId="32" xfId="0" applyFont="1" applyFill="1" applyBorder="1" applyAlignment="1" applyProtection="1">
      <alignment vertical="center" wrapText="1"/>
      <protection locked="0"/>
    </xf>
    <xf numFmtId="0" fontId="1" fillId="8" borderId="32" xfId="0" applyFont="1" applyFill="1" applyBorder="1" applyAlignment="1" applyProtection="1">
      <alignment vertical="center" wrapText="1"/>
      <protection locked="0"/>
    </xf>
    <xf numFmtId="0" fontId="1" fillId="8" borderId="31" xfId="0" applyFont="1" applyFill="1" applyBorder="1" applyAlignment="1" applyProtection="1">
      <alignment horizontal="center" vertical="center"/>
      <protection locked="0"/>
    </xf>
    <xf numFmtId="0" fontId="1" fillId="8" borderId="33" xfId="0" applyFont="1" applyFill="1" applyBorder="1" applyAlignment="1" applyProtection="1">
      <alignment horizontal="center" vertical="center"/>
      <protection locked="0"/>
    </xf>
    <xf numFmtId="0" fontId="1" fillId="8" borderId="34" xfId="0" applyFont="1" applyFill="1" applyBorder="1" applyAlignment="1">
      <alignment horizontal="center" vertical="center"/>
    </xf>
    <xf numFmtId="0" fontId="1" fillId="8" borderId="35" xfId="0" applyFont="1" applyFill="1" applyBorder="1" applyAlignment="1" applyProtection="1">
      <alignment vertical="center" wrapText="1"/>
      <protection locked="0"/>
    </xf>
    <xf numFmtId="0" fontId="1" fillId="0" borderId="0" xfId="0" applyFont="1">
      <alignment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9" xfId="0" applyFont="1" applyFill="1" applyBorder="1" applyAlignment="1">
      <alignment horizontal="center" vertical="center"/>
    </xf>
    <xf numFmtId="0" fontId="9" fillId="3" borderId="9" xfId="0" applyFont="1" applyFill="1" applyBorder="1" applyAlignment="1">
      <alignment horizontal="center" vertical="center"/>
    </xf>
    <xf numFmtId="0" fontId="5" fillId="0" borderId="0" xfId="0" applyFont="1" applyFill="1" applyBorder="1" applyAlignment="1">
      <alignment vertical="center"/>
    </xf>
    <xf numFmtId="0" fontId="9" fillId="3" borderId="8" xfId="0" applyFont="1" applyFill="1" applyBorder="1" applyAlignment="1">
      <alignment horizontal="center" vertical="center"/>
    </xf>
    <xf numFmtId="0" fontId="9" fillId="3" borderId="19" xfId="0" applyFont="1" applyFill="1" applyBorder="1" applyAlignment="1">
      <alignment horizontal="center" vertical="center"/>
    </xf>
    <xf numFmtId="0" fontId="1" fillId="4" borderId="19" xfId="0" applyFont="1" applyFill="1" applyBorder="1" applyAlignment="1">
      <alignment horizontal="center" vertical="center" wrapText="1"/>
    </xf>
    <xf numFmtId="0" fontId="7" fillId="4" borderId="19" xfId="0" applyFont="1" applyFill="1" applyBorder="1" applyAlignment="1">
      <alignment horizontal="center" vertical="center"/>
    </xf>
    <xf numFmtId="0" fontId="7" fillId="3" borderId="19" xfId="0" applyFont="1" applyFill="1" applyBorder="1" applyAlignment="1">
      <alignment horizontal="center" vertical="center"/>
    </xf>
    <xf numFmtId="0" fontId="3" fillId="3" borderId="9"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7" fillId="4" borderId="20" xfId="0" applyFont="1" applyFill="1" applyBorder="1" applyAlignment="1">
      <alignment horizontal="center" vertical="center"/>
    </xf>
    <xf numFmtId="0" fontId="7" fillId="0" borderId="0" xfId="0" applyFont="1">
      <alignment vertical="center"/>
    </xf>
    <xf numFmtId="0" fontId="13" fillId="0" borderId="0" xfId="0" applyFont="1" applyFill="1" applyBorder="1" applyAlignment="1">
      <alignment horizontal="right" vertical="center"/>
    </xf>
    <xf numFmtId="0" fontId="13" fillId="0" borderId="0" xfId="0" applyFont="1" applyFill="1" applyBorder="1" applyAlignment="1">
      <alignment horizontal="center" vertical="center"/>
    </xf>
    <xf numFmtId="0" fontId="13" fillId="0" borderId="0" xfId="0" applyFont="1" applyFill="1" applyBorder="1" applyAlignment="1">
      <alignment horizontal="left" vertical="center"/>
    </xf>
    <xf numFmtId="0" fontId="11" fillId="3" borderId="17" xfId="0" applyFont="1" applyFill="1" applyBorder="1" applyAlignment="1">
      <alignment horizontal="center" vertical="center" wrapText="1"/>
    </xf>
    <xf numFmtId="0" fontId="11" fillId="3" borderId="21" xfId="0" applyFont="1" applyFill="1" applyBorder="1" applyAlignment="1">
      <alignment horizontal="center" vertical="center" wrapText="1"/>
    </xf>
    <xf numFmtId="0" fontId="11" fillId="3" borderId="18" xfId="0" applyFont="1" applyFill="1" applyBorder="1" applyAlignment="1">
      <alignment horizontal="center" vertical="center" wrapText="1"/>
    </xf>
    <xf numFmtId="0" fontId="11" fillId="3" borderId="8" xfId="0" applyFont="1" applyFill="1" applyBorder="1" applyAlignment="1">
      <alignment horizontal="center" vertical="center"/>
    </xf>
    <xf numFmtId="0" fontId="11" fillId="3" borderId="9" xfId="0" applyFont="1" applyFill="1" applyBorder="1" applyAlignment="1">
      <alignment horizontal="center" vertical="center"/>
    </xf>
    <xf numFmtId="0" fontId="11" fillId="3" borderId="19" xfId="0" applyFont="1" applyFill="1" applyBorder="1" applyAlignment="1">
      <alignment horizontal="center" vertical="center"/>
    </xf>
    <xf numFmtId="0" fontId="11" fillId="4" borderId="8" xfId="0" applyFont="1" applyFill="1" applyBorder="1" applyAlignment="1">
      <alignment horizontal="center" vertical="center"/>
    </xf>
    <xf numFmtId="0" fontId="11" fillId="4" borderId="9" xfId="0" applyFont="1" applyFill="1" applyBorder="1" applyAlignment="1">
      <alignment horizontal="center" vertical="center"/>
    </xf>
    <xf numFmtId="0" fontId="11" fillId="4" borderId="19" xfId="0" applyFont="1" applyFill="1" applyBorder="1" applyAlignment="1">
      <alignment horizontal="center" vertical="center"/>
    </xf>
    <xf numFmtId="0" fontId="11" fillId="4" borderId="36" xfId="0" applyFont="1" applyFill="1" applyBorder="1" applyAlignment="1">
      <alignment horizontal="center" vertical="center" wrapText="1"/>
    </xf>
    <xf numFmtId="0" fontId="11" fillId="4" borderId="9" xfId="0" applyFont="1" applyFill="1" applyBorder="1" applyAlignment="1">
      <alignment horizontal="center" vertical="center" wrapText="1"/>
    </xf>
    <xf numFmtId="0" fontId="11" fillId="4" borderId="19"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11" fillId="3" borderId="8" xfId="0" applyFont="1" applyFill="1" applyBorder="1" applyAlignment="1">
      <alignment horizontal="right" vertical="center"/>
    </xf>
    <xf numFmtId="0" fontId="11" fillId="3" borderId="9" xfId="0" applyFont="1" applyFill="1" applyBorder="1" applyAlignment="1">
      <alignment horizontal="right" vertical="center"/>
    </xf>
    <xf numFmtId="0" fontId="11" fillId="3" borderId="10" xfId="0" applyFont="1" applyFill="1" applyBorder="1" applyAlignment="1">
      <alignment horizontal="right" vertical="center"/>
    </xf>
    <xf numFmtId="0" fontId="11" fillId="3" borderId="37" xfId="0" applyFont="1" applyFill="1" applyBorder="1" applyAlignment="1">
      <alignment horizontal="center" vertical="center"/>
    </xf>
    <xf numFmtId="0" fontId="11" fillId="3" borderId="38" xfId="0" applyFont="1" applyFill="1" applyBorder="1" applyAlignment="1">
      <alignment horizontal="left" vertical="center"/>
    </xf>
    <xf numFmtId="0" fontId="11" fillId="3" borderId="9" xfId="0" applyFont="1" applyFill="1" applyBorder="1" applyAlignment="1">
      <alignment horizontal="left" vertical="center"/>
    </xf>
    <xf numFmtId="0" fontId="11" fillId="3" borderId="37" xfId="0" applyFont="1" applyFill="1" applyBorder="1" applyAlignment="1">
      <alignment horizontal="right" vertical="center"/>
    </xf>
    <xf numFmtId="0" fontId="11" fillId="3" borderId="37" xfId="0" applyFont="1" applyFill="1" applyBorder="1" applyAlignment="1">
      <alignment horizontal="left" vertical="center"/>
    </xf>
    <xf numFmtId="0" fontId="11" fillId="3" borderId="39" xfId="0" applyFont="1" applyFill="1" applyBorder="1" applyAlignment="1">
      <alignment horizontal="left" vertical="center"/>
    </xf>
    <xf numFmtId="0" fontId="15" fillId="0" borderId="40" xfId="0" applyFont="1" applyBorder="1" applyAlignment="1">
      <alignment horizontal="center" vertical="center"/>
    </xf>
    <xf numFmtId="0" fontId="15" fillId="0" borderId="9" xfId="0" applyFont="1" applyBorder="1" applyAlignment="1">
      <alignment horizontal="center" vertical="center"/>
    </xf>
    <xf numFmtId="0" fontId="15" fillId="0" borderId="19" xfId="0" applyFont="1" applyBorder="1" applyAlignment="1">
      <alignment horizontal="center" vertical="center"/>
    </xf>
    <xf numFmtId="0" fontId="11" fillId="4" borderId="41" xfId="0" applyFont="1" applyFill="1" applyBorder="1" applyAlignment="1">
      <alignment horizontal="right" vertical="center"/>
    </xf>
    <xf numFmtId="0" fontId="11" fillId="4" borderId="42" xfId="0" applyFont="1" applyFill="1" applyBorder="1" applyAlignment="1">
      <alignment horizontal="right" vertical="center"/>
    </xf>
    <xf numFmtId="0" fontId="11" fillId="4" borderId="37" xfId="0" applyFont="1" applyFill="1" applyBorder="1" applyAlignment="1">
      <alignment horizontal="center" vertical="center"/>
    </xf>
    <xf numFmtId="0" fontId="11" fillId="4" borderId="37" xfId="0" applyFont="1" applyFill="1" applyBorder="1" applyAlignment="1">
      <alignment horizontal="left" vertical="center"/>
    </xf>
    <xf numFmtId="0" fontId="11" fillId="4" borderId="39" xfId="0" applyFont="1" applyFill="1" applyBorder="1" applyAlignment="1">
      <alignment horizontal="left" vertical="center"/>
    </xf>
    <xf numFmtId="0" fontId="11" fillId="4" borderId="8" xfId="0" applyFont="1" applyFill="1" applyBorder="1" applyAlignment="1">
      <alignment horizontal="right" vertical="center"/>
    </xf>
    <xf numFmtId="0" fontId="11" fillId="4" borderId="9" xfId="0" applyFont="1" applyFill="1" applyBorder="1" applyAlignment="1">
      <alignment horizontal="right" vertical="center"/>
    </xf>
    <xf numFmtId="0" fontId="11" fillId="4" borderId="10" xfId="0" applyFont="1" applyFill="1" applyBorder="1" applyAlignment="1">
      <alignment horizontal="right" vertical="center"/>
    </xf>
    <xf numFmtId="0" fontId="11" fillId="4" borderId="38" xfId="0" applyFont="1" applyFill="1" applyBorder="1" applyAlignment="1">
      <alignment horizontal="left" vertical="center"/>
    </xf>
    <xf numFmtId="0" fontId="11" fillId="4" borderId="9" xfId="0" applyFont="1" applyFill="1" applyBorder="1" applyAlignment="1">
      <alignment horizontal="left" vertical="center"/>
    </xf>
    <xf numFmtId="0" fontId="11" fillId="4" borderId="37" xfId="0" applyFont="1" applyFill="1" applyBorder="1" applyAlignment="1">
      <alignment horizontal="right" vertical="center"/>
    </xf>
    <xf numFmtId="0" fontId="11" fillId="4" borderId="0" xfId="0" applyFont="1" applyFill="1" applyAlignment="1">
      <alignment horizontal="center" vertical="center"/>
    </xf>
    <xf numFmtId="0" fontId="1" fillId="4" borderId="14" xfId="0" applyFont="1" applyFill="1" applyBorder="1" applyAlignment="1">
      <alignment horizontal="center" vertical="center" wrapText="1"/>
    </xf>
    <xf numFmtId="0" fontId="1" fillId="4" borderId="20" xfId="0" applyFont="1" applyFill="1" applyBorder="1" applyAlignment="1">
      <alignment horizontal="center" vertical="center" wrapText="1"/>
    </xf>
    <xf numFmtId="0" fontId="11" fillId="3" borderId="13" xfId="0" applyFont="1" applyFill="1" applyBorder="1" applyAlignment="1">
      <alignment horizontal="center" vertical="center"/>
    </xf>
    <xf numFmtId="0" fontId="11" fillId="3" borderId="14" xfId="0" applyFont="1" applyFill="1" applyBorder="1" applyAlignment="1">
      <alignment horizontal="center" vertical="center"/>
    </xf>
    <xf numFmtId="0" fontId="11" fillId="3" borderId="20" xfId="0" applyFont="1" applyFill="1" applyBorder="1" applyAlignment="1">
      <alignment horizontal="center" vertical="center"/>
    </xf>
    <xf numFmtId="0" fontId="1" fillId="0" borderId="0" xfId="0" applyFont="1" applyFill="1" applyAlignment="1">
      <alignment horizontal="center" vertical="center" wrapText="1"/>
    </xf>
    <xf numFmtId="0" fontId="16" fillId="0" borderId="0" xfId="0" applyFont="1" applyAlignment="1" applyProtection="1">
      <alignment horizontal="left" vertical="center"/>
    </xf>
    <xf numFmtId="0" fontId="15" fillId="0" borderId="0" xfId="0" applyFont="1">
      <alignment vertical="center"/>
    </xf>
    <xf numFmtId="0" fontId="17" fillId="0" borderId="0" xfId="0" applyFont="1" applyAlignment="1" applyProtection="1">
      <alignment horizontal="left" vertical="center"/>
    </xf>
    <xf numFmtId="0" fontId="18" fillId="4" borderId="43" xfId="0" applyFont="1" applyFill="1" applyBorder="1" applyAlignment="1" applyProtection="1">
      <alignment horizontal="center" vertical="center" wrapText="1"/>
      <protection locked="0"/>
    </xf>
    <xf numFmtId="0" fontId="18" fillId="4" borderId="44" xfId="0" applyFont="1" applyFill="1" applyBorder="1" applyAlignment="1" applyProtection="1">
      <alignment horizontal="center" vertical="center"/>
      <protection locked="0"/>
    </xf>
    <xf numFmtId="0" fontId="18" fillId="4" borderId="45" xfId="0" applyFont="1" applyFill="1" applyBorder="1" applyAlignment="1" applyProtection="1">
      <alignment horizontal="center" vertical="center"/>
      <protection locked="0"/>
    </xf>
    <xf numFmtId="0" fontId="5" fillId="2" borderId="17" xfId="0" applyFont="1" applyFill="1" applyBorder="1" applyAlignment="1" applyProtection="1">
      <alignment horizontal="center" vertical="center"/>
    </xf>
    <xf numFmtId="0" fontId="5" fillId="2" borderId="21" xfId="0" applyFont="1" applyFill="1" applyBorder="1" applyAlignment="1" applyProtection="1">
      <alignment horizontal="center" vertical="center"/>
    </xf>
    <xf numFmtId="0" fontId="5" fillId="2" borderId="46" xfId="0" applyFont="1" applyFill="1" applyBorder="1" applyAlignment="1" applyProtection="1">
      <alignment horizontal="center" vertical="center"/>
    </xf>
    <xf numFmtId="0" fontId="5" fillId="2" borderId="18" xfId="0" applyFont="1" applyFill="1" applyBorder="1" applyAlignment="1" applyProtection="1">
      <alignment horizontal="center" vertical="center"/>
    </xf>
    <xf numFmtId="0" fontId="5" fillId="2" borderId="17"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18" xfId="0" applyFont="1" applyFill="1" applyBorder="1" applyAlignment="1">
      <alignment horizontal="center" vertical="center"/>
    </xf>
    <xf numFmtId="0" fontId="19" fillId="0" borderId="0" xfId="0" applyFont="1">
      <alignment vertical="center"/>
    </xf>
    <xf numFmtId="0" fontId="18" fillId="4" borderId="47" xfId="0" applyFont="1" applyFill="1" applyBorder="1" applyAlignment="1" applyProtection="1">
      <alignment horizontal="center" vertical="center"/>
      <protection locked="0"/>
    </xf>
    <xf numFmtId="0" fontId="18" fillId="4" borderId="0" xfId="0" applyFont="1" applyFill="1" applyAlignment="1" applyProtection="1">
      <alignment horizontal="center" vertical="center"/>
      <protection locked="0"/>
    </xf>
    <xf numFmtId="0" fontId="18" fillId="4" borderId="48" xfId="0" applyFont="1" applyFill="1" applyBorder="1" applyAlignment="1" applyProtection="1">
      <alignment horizontal="center" vertical="center"/>
      <protection locked="0"/>
    </xf>
    <xf numFmtId="0" fontId="1" fillId="3" borderId="8" xfId="0" applyFont="1" applyFill="1" applyBorder="1" applyAlignment="1" applyProtection="1">
      <alignment horizontal="center" vertical="center"/>
    </xf>
    <xf numFmtId="0" fontId="1" fillId="3" borderId="9" xfId="0" applyFont="1" applyFill="1" applyBorder="1" applyAlignment="1" applyProtection="1">
      <alignment horizontal="center" vertical="center"/>
    </xf>
    <xf numFmtId="0" fontId="1" fillId="4" borderId="49" xfId="0" applyFont="1" applyFill="1" applyBorder="1" applyAlignment="1" applyProtection="1">
      <alignment horizontal="center" vertical="center"/>
      <protection locked="0"/>
    </xf>
    <xf numFmtId="0" fontId="1" fillId="4" borderId="0" xfId="0" applyFont="1" applyFill="1" applyAlignment="1" applyProtection="1">
      <alignment horizontal="center" vertical="center"/>
      <protection locked="0"/>
    </xf>
    <xf numFmtId="0" fontId="1" fillId="3" borderId="41" xfId="0" applyFont="1" applyFill="1" applyBorder="1" applyAlignment="1" applyProtection="1">
      <alignment horizontal="center" vertical="center"/>
    </xf>
    <xf numFmtId="0" fontId="1" fillId="3" borderId="42" xfId="0" applyFont="1" applyFill="1" applyBorder="1" applyAlignment="1" applyProtection="1">
      <alignment horizontal="center" vertical="center"/>
    </xf>
    <xf numFmtId="0" fontId="17" fillId="4" borderId="49" xfId="0" applyFont="1" applyFill="1" applyBorder="1" applyAlignment="1">
      <alignment horizontal="center" vertical="center"/>
    </xf>
    <xf numFmtId="0" fontId="1" fillId="4" borderId="42" xfId="0" applyFont="1" applyFill="1" applyBorder="1" applyAlignment="1" applyProtection="1">
      <alignment horizontal="center" vertical="center"/>
      <protection locked="0"/>
    </xf>
    <xf numFmtId="0" fontId="1" fillId="4" borderId="50" xfId="0" applyFont="1" applyFill="1" applyBorder="1" applyAlignment="1" applyProtection="1">
      <alignment horizontal="center" vertical="center"/>
      <protection locked="0"/>
    </xf>
    <xf numFmtId="0" fontId="1" fillId="3" borderId="9" xfId="0" applyFont="1" applyFill="1" applyBorder="1" applyAlignment="1">
      <alignment vertical="center" wrapText="1"/>
    </xf>
    <xf numFmtId="0" fontId="1" fillId="3" borderId="9" xfId="0" applyFont="1" applyFill="1" applyBorder="1" applyAlignment="1">
      <alignment vertical="center"/>
    </xf>
    <xf numFmtId="0" fontId="1" fillId="4" borderId="6" xfId="0" applyFont="1" applyFill="1" applyBorder="1" applyAlignment="1" applyProtection="1">
      <alignment horizontal="center" vertical="center"/>
      <protection locked="0"/>
    </xf>
    <xf numFmtId="0" fontId="1" fillId="4" borderId="51" xfId="0" applyFont="1" applyFill="1" applyBorder="1" applyAlignment="1" applyProtection="1">
      <alignment horizontal="center" vertical="center"/>
      <protection locked="0"/>
    </xf>
    <xf numFmtId="0" fontId="1" fillId="3" borderId="6" xfId="0" applyFont="1" applyFill="1" applyBorder="1" applyAlignment="1" applyProtection="1">
      <alignment horizontal="center" vertical="center"/>
    </xf>
    <xf numFmtId="0" fontId="1" fillId="3" borderId="51" xfId="0" applyFont="1" applyFill="1" applyBorder="1" applyAlignment="1" applyProtection="1">
      <alignment horizontal="center" vertical="center"/>
    </xf>
    <xf numFmtId="0" fontId="1" fillId="4" borderId="6" xfId="0" applyFont="1" applyFill="1" applyBorder="1" applyAlignment="1" applyProtection="1">
      <alignment vertical="center"/>
      <protection locked="0"/>
    </xf>
    <xf numFmtId="0" fontId="1" fillId="4" borderId="52" xfId="0" applyFont="1" applyFill="1" applyBorder="1" applyAlignment="1" applyProtection="1">
      <alignment horizontal="center" vertical="center"/>
      <protection locked="0"/>
    </xf>
    <xf numFmtId="0" fontId="20" fillId="3" borderId="9" xfId="0" applyFont="1" applyFill="1" applyBorder="1" applyAlignment="1">
      <alignment horizontal="left" vertical="center" wrapText="1"/>
    </xf>
    <xf numFmtId="0" fontId="20" fillId="3" borderId="19" xfId="0" applyFont="1" applyFill="1" applyBorder="1" applyAlignment="1">
      <alignment horizontal="left" vertical="center" wrapText="1"/>
    </xf>
    <xf numFmtId="0" fontId="1" fillId="3" borderId="5" xfId="0" applyFont="1" applyFill="1" applyBorder="1" applyAlignment="1" applyProtection="1">
      <alignment horizontal="center" vertical="center"/>
    </xf>
    <xf numFmtId="0" fontId="1" fillId="3" borderId="19" xfId="0" applyFont="1" applyFill="1" applyBorder="1" applyAlignment="1" applyProtection="1">
      <alignment horizontal="center" vertical="center"/>
    </xf>
    <xf numFmtId="0" fontId="19" fillId="0" borderId="0" xfId="0" applyFont="1" applyAlignment="1">
      <alignment horizontal="center" vertical="center"/>
    </xf>
    <xf numFmtId="0" fontId="1" fillId="4" borderId="53" xfId="0" applyFont="1" applyFill="1" applyBorder="1" applyAlignment="1" applyProtection="1">
      <alignment horizontal="left" vertical="top" wrapText="1"/>
      <protection locked="0"/>
    </xf>
    <xf numFmtId="0" fontId="1" fillId="4" borderId="42" xfId="0" applyFont="1" applyFill="1" applyBorder="1" applyAlignment="1" applyProtection="1">
      <alignment horizontal="left" vertical="top" wrapText="1"/>
      <protection locked="0"/>
    </xf>
    <xf numFmtId="0" fontId="1" fillId="4" borderId="54" xfId="0" applyFont="1" applyFill="1" applyBorder="1" applyAlignment="1" applyProtection="1">
      <alignment horizontal="left" vertical="top" wrapText="1"/>
      <protection locked="0"/>
    </xf>
    <xf numFmtId="0" fontId="1" fillId="4" borderId="8" xfId="0" applyFont="1" applyFill="1" applyBorder="1" applyAlignment="1" applyProtection="1">
      <alignment horizontal="center" vertical="center" wrapText="1"/>
      <protection locked="0"/>
    </xf>
    <xf numFmtId="0" fontId="1" fillId="4" borderId="9" xfId="0" applyFont="1" applyFill="1" applyBorder="1" applyAlignment="1" applyProtection="1">
      <alignment horizontal="center" vertical="center" wrapText="1"/>
      <protection locked="0"/>
    </xf>
    <xf numFmtId="0" fontId="20" fillId="4" borderId="9" xfId="0" applyFont="1" applyFill="1" applyBorder="1" applyAlignment="1" applyProtection="1">
      <alignment horizontal="left" vertical="center" wrapText="1"/>
      <protection locked="0"/>
    </xf>
    <xf numFmtId="0" fontId="20" fillId="4" borderId="19" xfId="0" applyFont="1" applyFill="1" applyBorder="1" applyAlignment="1" applyProtection="1">
      <alignment horizontal="left" vertical="center" wrapText="1"/>
      <protection locked="0"/>
    </xf>
    <xf numFmtId="0" fontId="1" fillId="4" borderId="55" xfId="0" applyFont="1" applyFill="1" applyBorder="1" applyAlignment="1" applyProtection="1">
      <alignment horizontal="left" vertical="top" wrapText="1"/>
      <protection locked="0"/>
    </xf>
    <xf numFmtId="0" fontId="1" fillId="4" borderId="0" xfId="0" applyFont="1" applyFill="1" applyAlignment="1" applyProtection="1">
      <alignment horizontal="left" vertical="top" wrapText="1"/>
      <protection locked="0"/>
    </xf>
    <xf numFmtId="0" fontId="1" fillId="4" borderId="56" xfId="0" applyFont="1" applyFill="1" applyBorder="1" applyAlignment="1" applyProtection="1">
      <alignment horizontal="left" vertical="top" wrapText="1"/>
      <protection locked="0"/>
    </xf>
    <xf numFmtId="0" fontId="18" fillId="4" borderId="57" xfId="0" applyFont="1" applyFill="1" applyBorder="1" applyAlignment="1" applyProtection="1">
      <alignment horizontal="center" vertical="center"/>
      <protection locked="0"/>
    </xf>
    <xf numFmtId="0" fontId="18" fillId="4" borderId="58" xfId="0" applyFont="1" applyFill="1" applyBorder="1" applyAlignment="1" applyProtection="1">
      <alignment horizontal="center" vertical="center"/>
      <protection locked="0"/>
    </xf>
    <xf numFmtId="0" fontId="18" fillId="4" borderId="59" xfId="0" applyFont="1" applyFill="1" applyBorder="1" applyAlignment="1" applyProtection="1">
      <alignment horizontal="center" vertical="center"/>
      <protection locked="0"/>
    </xf>
    <xf numFmtId="0" fontId="21" fillId="4" borderId="60" xfId="0" applyFont="1" applyFill="1" applyBorder="1" applyAlignment="1">
      <alignment horizontal="right" vertical="center"/>
    </xf>
    <xf numFmtId="0" fontId="21" fillId="4" borderId="61" xfId="0" applyFont="1" applyFill="1" applyBorder="1" applyAlignment="1">
      <alignment horizontal="right" vertical="center"/>
    </xf>
    <xf numFmtId="0" fontId="21" fillId="4" borderId="62" xfId="0" applyFont="1" applyFill="1" applyBorder="1" applyAlignment="1">
      <alignment horizontal="right" vertical="center"/>
    </xf>
    <xf numFmtId="0" fontId="1" fillId="0" borderId="0" xfId="0" applyFont="1" applyAlignment="1">
      <alignment vertical="center"/>
    </xf>
    <xf numFmtId="0" fontId="5" fillId="2" borderId="63" xfId="0" applyFont="1" applyFill="1" applyBorder="1" applyAlignment="1" applyProtection="1">
      <alignment horizontal="center" vertical="center"/>
    </xf>
    <xf numFmtId="0" fontId="1" fillId="2" borderId="21" xfId="0" applyFont="1" applyFill="1" applyBorder="1" applyAlignment="1" applyProtection="1">
      <alignment horizontal="center" vertical="center"/>
    </xf>
    <xf numFmtId="0" fontId="1" fillId="2" borderId="18" xfId="0" applyFont="1" applyFill="1" applyBorder="1" applyAlignment="1" applyProtection="1">
      <alignment horizontal="center" vertical="center"/>
    </xf>
    <xf numFmtId="0" fontId="1" fillId="3" borderId="38" xfId="0" applyFont="1" applyFill="1" applyBorder="1" applyAlignment="1" applyProtection="1">
      <alignment horizontal="center" vertical="center"/>
    </xf>
    <xf numFmtId="0" fontId="1" fillId="4" borderId="9" xfId="0" applyFont="1" applyFill="1" applyBorder="1" applyAlignment="1" applyProtection="1">
      <alignment horizontal="center" vertical="center"/>
      <protection locked="0"/>
    </xf>
    <xf numFmtId="0" fontId="1" fillId="3" borderId="9" xfId="0" applyFont="1" applyFill="1" applyBorder="1" applyProtection="1">
      <alignment vertical="center"/>
    </xf>
    <xf numFmtId="0" fontId="1" fillId="4" borderId="19" xfId="0" applyFont="1" applyFill="1" applyBorder="1" applyAlignment="1" applyProtection="1">
      <alignment horizontal="center" vertical="center"/>
      <protection locked="0"/>
    </xf>
    <xf numFmtId="0" fontId="7" fillId="3" borderId="9" xfId="0" applyFont="1" applyFill="1" applyBorder="1" applyAlignment="1" applyProtection="1">
      <alignment horizontal="center" vertical="center"/>
    </xf>
    <xf numFmtId="0" fontId="7" fillId="3" borderId="19" xfId="0" applyFont="1" applyFill="1" applyBorder="1" applyAlignment="1" applyProtection="1">
      <alignment horizontal="center" vertical="center"/>
    </xf>
    <xf numFmtId="0" fontId="1" fillId="4" borderId="13"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20" fillId="4" borderId="14" xfId="0" applyFont="1" applyFill="1" applyBorder="1" applyAlignment="1" applyProtection="1">
      <alignment horizontal="left" vertical="center" wrapText="1"/>
      <protection locked="0"/>
    </xf>
    <xf numFmtId="0" fontId="20" fillId="4" borderId="20" xfId="0" applyFont="1" applyFill="1" applyBorder="1" applyAlignment="1" applyProtection="1">
      <alignment horizontal="left" vertical="center" wrapText="1"/>
      <protection locked="0"/>
    </xf>
    <xf numFmtId="0" fontId="5" fillId="2" borderId="1" xfId="0" applyFont="1" applyFill="1" applyBorder="1" applyAlignment="1">
      <alignment horizontal="center" vertical="center"/>
    </xf>
    <xf numFmtId="0" fontId="5" fillId="2" borderId="23" xfId="0" applyFont="1" applyFill="1" applyBorder="1" applyAlignment="1" applyProtection="1">
      <alignment horizontal="center" vertical="center"/>
    </xf>
    <xf numFmtId="0" fontId="5" fillId="2" borderId="64" xfId="0" applyFont="1" applyFill="1" applyBorder="1" applyAlignment="1" applyProtection="1">
      <alignment horizontal="center" vertical="center"/>
    </xf>
    <xf numFmtId="0" fontId="5" fillId="2" borderId="23" xfId="0" applyFont="1" applyFill="1" applyBorder="1" applyAlignment="1">
      <alignment horizontal="center" vertical="center"/>
    </xf>
    <xf numFmtId="0" fontId="5" fillId="2" borderId="65" xfId="0" applyFont="1" applyFill="1" applyBorder="1" applyAlignment="1" applyProtection="1">
      <alignment horizontal="center" vertical="center"/>
    </xf>
    <xf numFmtId="0" fontId="5" fillId="2" borderId="24" xfId="0" applyFont="1" applyFill="1" applyBorder="1" applyAlignment="1" applyProtection="1">
      <alignment horizontal="center" vertical="center"/>
    </xf>
    <xf numFmtId="0" fontId="5" fillId="0" borderId="0" xfId="0" applyFont="1" applyFill="1" applyBorder="1" applyAlignment="1" applyProtection="1">
      <alignment vertical="center"/>
    </xf>
    <xf numFmtId="0" fontId="22" fillId="4" borderId="8" xfId="0" applyFont="1" applyFill="1" applyBorder="1" applyAlignment="1" applyProtection="1">
      <alignment horizontal="left" vertical="top" wrapText="1"/>
      <protection locked="0"/>
    </xf>
    <xf numFmtId="0" fontId="22" fillId="4" borderId="38" xfId="0" applyFont="1" applyFill="1" applyBorder="1" applyAlignment="1" applyProtection="1">
      <alignment horizontal="left" vertical="top" wrapText="1"/>
      <protection locked="0"/>
    </xf>
    <xf numFmtId="0" fontId="22" fillId="4" borderId="9" xfId="0" applyFont="1" applyFill="1" applyBorder="1" applyAlignment="1" applyProtection="1">
      <alignment horizontal="left" vertical="top" wrapText="1"/>
      <protection locked="0"/>
    </xf>
    <xf numFmtId="0" fontId="22" fillId="4" borderId="19" xfId="0" applyFont="1" applyFill="1" applyBorder="1" applyAlignment="1" applyProtection="1">
      <alignment horizontal="left" vertical="top" wrapText="1"/>
      <protection locked="0"/>
    </xf>
    <xf numFmtId="0" fontId="7" fillId="4" borderId="9" xfId="0" applyFont="1" applyFill="1" applyBorder="1" applyAlignment="1" applyProtection="1">
      <alignment horizontal="center" vertical="center"/>
      <protection locked="0"/>
    </xf>
    <xf numFmtId="0" fontId="7" fillId="4" borderId="66" xfId="0" applyFont="1" applyFill="1" applyBorder="1" applyAlignment="1" applyProtection="1">
      <alignment horizontal="center" vertical="center"/>
      <protection locked="0"/>
    </xf>
    <xf numFmtId="0" fontId="7" fillId="3" borderId="38" xfId="0" applyFont="1" applyFill="1" applyBorder="1" applyAlignment="1" applyProtection="1">
      <alignment horizontal="center" vertical="center"/>
    </xf>
    <xf numFmtId="0" fontId="7" fillId="4" borderId="19" xfId="0" applyFont="1" applyFill="1" applyBorder="1" applyAlignment="1" applyProtection="1">
      <alignment horizontal="center" vertical="center"/>
      <protection locked="0"/>
    </xf>
    <xf numFmtId="0" fontId="1" fillId="0" borderId="0" xfId="0" applyFont="1" applyFill="1" applyBorder="1" applyAlignment="1" applyProtection="1">
      <alignment vertical="center"/>
      <protection locked="0"/>
    </xf>
    <xf numFmtId="0" fontId="7" fillId="4" borderId="36" xfId="0" applyFont="1" applyFill="1" applyBorder="1" applyAlignment="1" applyProtection="1">
      <alignment horizontal="center" vertical="center"/>
      <protection locked="0"/>
    </xf>
    <xf numFmtId="0" fontId="7" fillId="4" borderId="67" xfId="0" applyFont="1" applyFill="1" applyBorder="1" applyAlignment="1" applyProtection="1">
      <alignment horizontal="center" vertical="center"/>
      <protection locked="0"/>
    </xf>
    <xf numFmtId="0" fontId="1" fillId="3" borderId="13" xfId="0" applyFont="1" applyFill="1" applyBorder="1" applyAlignment="1" applyProtection="1">
      <alignment horizontal="center" vertical="center"/>
    </xf>
    <xf numFmtId="0" fontId="1" fillId="3" borderId="14" xfId="0" applyFont="1" applyFill="1" applyBorder="1" applyAlignment="1" applyProtection="1">
      <alignment horizontal="center" vertical="center"/>
    </xf>
    <xf numFmtId="0" fontId="1" fillId="4" borderId="14" xfId="0" applyFont="1" applyFill="1" applyBorder="1" applyAlignment="1" applyProtection="1">
      <alignment horizontal="center" vertical="center"/>
      <protection locked="0"/>
    </xf>
    <xf numFmtId="0" fontId="7" fillId="3" borderId="14" xfId="0" applyFont="1" applyFill="1" applyBorder="1" applyAlignment="1" applyProtection="1">
      <alignment horizontal="center" vertical="center"/>
    </xf>
    <xf numFmtId="0" fontId="7" fillId="3" borderId="20" xfId="0" applyFont="1" applyFill="1" applyBorder="1" applyAlignment="1" applyProtection="1">
      <alignment horizontal="center" vertical="center"/>
    </xf>
    <xf numFmtId="0" fontId="1" fillId="3" borderId="53" xfId="0" applyFont="1" applyFill="1" applyBorder="1" applyAlignment="1" applyProtection="1">
      <alignment horizontal="center" vertical="center"/>
    </xf>
    <xf numFmtId="0" fontId="1" fillId="3" borderId="68" xfId="0" applyFont="1" applyFill="1" applyBorder="1" applyAlignment="1" applyProtection="1">
      <alignment horizontal="center" vertical="center"/>
    </xf>
    <xf numFmtId="0" fontId="17" fillId="4" borderId="41" xfId="0" applyFont="1" applyFill="1" applyBorder="1" applyAlignment="1" applyProtection="1">
      <alignment vertical="center"/>
    </xf>
    <xf numFmtId="0" fontId="7" fillId="4" borderId="42" xfId="0" applyFont="1" applyFill="1" applyBorder="1" applyAlignment="1" applyProtection="1">
      <alignment horizontal="center" vertical="center"/>
      <protection locked="0"/>
    </xf>
    <xf numFmtId="0" fontId="7" fillId="4" borderId="36" xfId="0" applyFont="1" applyFill="1" applyBorder="1" applyAlignment="1" applyProtection="1">
      <alignment horizontal="center" vertical="center"/>
    </xf>
    <xf numFmtId="0" fontId="17" fillId="4" borderId="41" xfId="0" applyFont="1" applyFill="1" applyBorder="1" applyAlignment="1" applyProtection="1">
      <alignment vertical="center"/>
      <protection locked="0"/>
    </xf>
    <xf numFmtId="0" fontId="7" fillId="4" borderId="69" xfId="0" applyFont="1" applyFill="1" applyBorder="1" applyAlignment="1" applyProtection="1">
      <alignment horizontal="center" vertical="center"/>
      <protection locked="0"/>
    </xf>
    <xf numFmtId="0" fontId="22" fillId="4" borderId="25" xfId="0" applyFont="1" applyFill="1" applyBorder="1" applyAlignment="1" applyProtection="1">
      <alignment horizontal="left" vertical="top" wrapText="1"/>
      <protection locked="0"/>
    </xf>
    <xf numFmtId="0" fontId="22" fillId="4" borderId="68" xfId="0" applyFont="1" applyFill="1" applyBorder="1" applyAlignment="1" applyProtection="1">
      <alignment horizontal="left" vertical="top" wrapText="1"/>
      <protection locked="0"/>
    </xf>
    <xf numFmtId="0" fontId="22" fillId="4" borderId="36" xfId="0" applyFont="1" applyFill="1" applyBorder="1" applyAlignment="1" applyProtection="1">
      <alignment horizontal="left" vertical="top" wrapText="1"/>
      <protection locked="0"/>
    </xf>
    <xf numFmtId="0" fontId="22" fillId="4" borderId="11" xfId="0" applyFont="1" applyFill="1" applyBorder="1" applyAlignment="1" applyProtection="1">
      <alignment horizontal="left" vertical="top" wrapText="1"/>
      <protection locked="0"/>
    </xf>
    <xf numFmtId="0" fontId="1" fillId="0" borderId="0" xfId="0" applyFont="1" applyProtection="1">
      <alignment vertical="center"/>
    </xf>
    <xf numFmtId="0" fontId="1" fillId="3" borderId="55" xfId="0" applyFont="1" applyFill="1" applyBorder="1" applyAlignment="1" applyProtection="1">
      <alignment horizontal="center" vertical="center"/>
    </xf>
    <xf numFmtId="0" fontId="1" fillId="3" borderId="0" xfId="0" applyFont="1" applyFill="1" applyAlignment="1" applyProtection="1">
      <alignment horizontal="center" vertical="center"/>
    </xf>
    <xf numFmtId="0" fontId="1" fillId="3" borderId="70" xfId="0" applyFont="1" applyFill="1" applyBorder="1" applyAlignment="1" applyProtection="1">
      <alignment horizontal="center" vertical="center"/>
    </xf>
    <xf numFmtId="0" fontId="17" fillId="4" borderId="6" xfId="0" applyFont="1" applyFill="1" applyBorder="1" applyAlignment="1" applyProtection="1">
      <alignment horizontal="center" vertical="center"/>
    </xf>
    <xf numFmtId="0" fontId="7" fillId="4" borderId="51" xfId="0" applyFont="1" applyFill="1" applyBorder="1" applyAlignment="1" applyProtection="1">
      <alignment horizontal="center" vertical="center"/>
      <protection locked="0"/>
    </xf>
    <xf numFmtId="0" fontId="7" fillId="4" borderId="40" xfId="0" applyFont="1" applyFill="1" applyBorder="1" applyAlignment="1" applyProtection="1">
      <alignment horizontal="center" vertical="center"/>
    </xf>
    <xf numFmtId="0" fontId="17" fillId="4" borderId="51" xfId="0" applyFont="1" applyFill="1" applyBorder="1" applyAlignment="1" applyProtection="1">
      <alignment horizontal="center" vertical="center"/>
    </xf>
    <xf numFmtId="0" fontId="7" fillId="4" borderId="71" xfId="0" applyFont="1" applyFill="1" applyBorder="1" applyAlignment="1" applyProtection="1">
      <alignment horizontal="center" vertical="center"/>
      <protection locked="0"/>
    </xf>
    <xf numFmtId="0" fontId="23" fillId="5" borderId="8" xfId="0" applyFont="1" applyFill="1" applyBorder="1" applyAlignment="1">
      <alignment horizontal="center" vertical="center"/>
    </xf>
    <xf numFmtId="0" fontId="0" fillId="5" borderId="9" xfId="0" applyFont="1" applyFill="1" applyBorder="1" applyAlignment="1">
      <alignment horizontal="center" vertical="center"/>
    </xf>
    <xf numFmtId="0" fontId="24" fillId="6" borderId="9" xfId="0" applyFont="1" applyFill="1" applyBorder="1" applyAlignment="1" applyProtection="1">
      <alignment horizontal="center" vertical="center"/>
      <protection locked="0"/>
    </xf>
    <xf numFmtId="0" fontId="24" fillId="6" borderId="19"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xf>
    <xf numFmtId="0" fontId="1" fillId="3" borderId="21" xfId="0" applyFont="1" applyFill="1" applyBorder="1" applyAlignment="1" applyProtection="1">
      <alignment horizontal="center" vertical="center"/>
    </xf>
    <xf numFmtId="0" fontId="1" fillId="4" borderId="21" xfId="0" applyFont="1" applyFill="1" applyBorder="1" applyAlignment="1" applyProtection="1">
      <alignment horizontal="center" vertical="center"/>
    </xf>
    <xf numFmtId="0" fontId="1" fillId="4" borderId="72" xfId="0" applyFont="1" applyFill="1" applyBorder="1" applyAlignment="1" applyProtection="1">
      <alignment horizontal="center" vertical="center"/>
    </xf>
    <xf numFmtId="0" fontId="1" fillId="4" borderId="23" xfId="0" applyFont="1" applyFill="1" applyBorder="1" applyAlignment="1" applyProtection="1">
      <alignment horizontal="center" vertical="center"/>
    </xf>
    <xf numFmtId="0" fontId="1" fillId="4" borderId="63" xfId="0" applyFont="1" applyFill="1" applyBorder="1" applyAlignment="1" applyProtection="1">
      <alignment horizontal="center" vertical="center"/>
    </xf>
    <xf numFmtId="0" fontId="1" fillId="4" borderId="18" xfId="0" applyFont="1" applyFill="1" applyBorder="1" applyAlignment="1" applyProtection="1">
      <alignment horizontal="center" vertical="center"/>
    </xf>
    <xf numFmtId="0" fontId="1" fillId="3" borderId="73" xfId="0" applyFont="1" applyFill="1" applyBorder="1" applyAlignment="1" applyProtection="1">
      <alignment horizontal="center" vertical="center"/>
    </xf>
    <xf numFmtId="0" fontId="1" fillId="3" borderId="20" xfId="0" applyFont="1" applyFill="1" applyBorder="1" applyAlignment="1" applyProtection="1">
      <alignment horizontal="center" vertical="center"/>
    </xf>
    <xf numFmtId="0" fontId="17" fillId="4" borderId="42" xfId="0" applyFont="1" applyFill="1" applyBorder="1" applyAlignment="1" applyProtection="1">
      <alignment vertical="center"/>
    </xf>
    <xf numFmtId="0" fontId="7" fillId="4" borderId="0" xfId="0" applyFont="1" applyFill="1" applyAlignment="1" applyProtection="1">
      <alignment horizontal="center" vertical="center"/>
      <protection locked="0"/>
    </xf>
    <xf numFmtId="0" fontId="7" fillId="4" borderId="74" xfId="0" applyFont="1" applyFill="1" applyBorder="1" applyAlignment="1" applyProtection="1">
      <alignment horizontal="center" vertical="center"/>
      <protection locked="0"/>
    </xf>
    <xf numFmtId="0" fontId="7" fillId="3" borderId="66" xfId="0" applyFont="1" applyFill="1" applyBorder="1" applyAlignment="1" applyProtection="1">
      <alignment horizontal="center" vertical="center"/>
    </xf>
    <xf numFmtId="0" fontId="1" fillId="0" borderId="0" xfId="0" applyFont="1" applyFill="1" applyBorder="1" applyAlignment="1" applyProtection="1">
      <alignment vertical="center"/>
    </xf>
    <xf numFmtId="0" fontId="1" fillId="3" borderId="4" xfId="0" applyFont="1" applyFill="1" applyBorder="1" applyAlignment="1" applyProtection="1">
      <alignment horizontal="center" vertical="center"/>
    </xf>
    <xf numFmtId="0" fontId="1" fillId="3" borderId="75" xfId="0" applyFont="1" applyFill="1" applyBorder="1" applyAlignment="1" applyProtection="1">
      <alignment horizontal="center" vertical="center"/>
    </xf>
    <xf numFmtId="0" fontId="1" fillId="3" borderId="7" xfId="0" applyFont="1" applyFill="1" applyBorder="1" applyAlignment="1" applyProtection="1">
      <alignment horizontal="center" vertical="center"/>
    </xf>
    <xf numFmtId="0" fontId="1" fillId="3" borderId="76" xfId="0" applyFont="1" applyFill="1" applyBorder="1" applyAlignment="1" applyProtection="1">
      <alignment horizontal="center" vertical="center"/>
    </xf>
    <xf numFmtId="0" fontId="1" fillId="3" borderId="77" xfId="0" applyFont="1" applyFill="1" applyBorder="1" applyAlignment="1" applyProtection="1">
      <alignment horizontal="center" vertical="center"/>
    </xf>
    <xf numFmtId="0" fontId="1" fillId="4" borderId="77" xfId="0" applyFont="1" applyFill="1" applyBorder="1" applyAlignment="1" applyProtection="1">
      <alignment horizontal="center" vertical="center"/>
    </xf>
    <xf numFmtId="0" fontId="1" fillId="4" borderId="78" xfId="0" applyFont="1" applyFill="1" applyBorder="1" applyAlignment="1" applyProtection="1">
      <alignment horizontal="center" vertical="center"/>
    </xf>
    <xf numFmtId="0" fontId="1" fillId="4" borderId="79" xfId="0" applyFont="1" applyFill="1" applyBorder="1" applyAlignment="1" applyProtection="1">
      <alignment horizontal="center" vertical="center"/>
    </xf>
    <xf numFmtId="0" fontId="1" fillId="4" borderId="80" xfId="0" applyFont="1" applyFill="1" applyBorder="1" applyAlignment="1" applyProtection="1">
      <alignment horizontal="center" vertical="center"/>
    </xf>
    <xf numFmtId="0" fontId="1" fillId="4" borderId="81" xfId="0" applyFont="1" applyFill="1" applyBorder="1" applyAlignment="1" applyProtection="1">
      <alignment horizontal="center" vertical="center"/>
    </xf>
    <xf numFmtId="0" fontId="13" fillId="0" borderId="0" xfId="0" applyFont="1" applyAlignment="1" applyProtection="1">
      <alignment horizontal="center" vertical="center"/>
    </xf>
    <xf numFmtId="0" fontId="13" fillId="0" borderId="0" xfId="0" applyFont="1" applyAlignment="1" applyProtection="1">
      <alignment horizontal="left" vertical="center"/>
    </xf>
    <xf numFmtId="0" fontId="1" fillId="3" borderId="82" xfId="0" applyFont="1" applyFill="1" applyBorder="1" applyAlignment="1" applyProtection="1">
      <alignment horizontal="center" vertical="center"/>
    </xf>
    <xf numFmtId="0" fontId="7" fillId="4" borderId="5" xfId="0" applyFont="1" applyFill="1" applyBorder="1" applyAlignment="1" applyProtection="1">
      <alignment horizontal="center" vertical="center"/>
    </xf>
    <xf numFmtId="0" fontId="22" fillId="4" borderId="55" xfId="0" applyFont="1" applyFill="1" applyBorder="1" applyAlignment="1" applyProtection="1">
      <alignment horizontal="left" vertical="top" wrapText="1"/>
      <protection locked="0"/>
    </xf>
    <xf numFmtId="0" fontId="22" fillId="4" borderId="0" xfId="0" applyFont="1" applyFill="1" applyAlignment="1" applyProtection="1">
      <alignment horizontal="left" vertical="top" wrapText="1"/>
      <protection locked="0"/>
    </xf>
    <xf numFmtId="0" fontId="22" fillId="4" borderId="56" xfId="0" applyFont="1" applyFill="1" applyBorder="1" applyAlignment="1" applyProtection="1">
      <alignment horizontal="left" vertical="top" wrapText="1"/>
      <protection locked="0"/>
    </xf>
    <xf numFmtId="0" fontId="1" fillId="3" borderId="83" xfId="0" applyFont="1" applyFill="1" applyBorder="1" applyAlignment="1" applyProtection="1">
      <alignment horizontal="center" vertical="center"/>
    </xf>
    <xf numFmtId="0" fontId="1" fillId="3" borderId="84" xfId="0" applyFont="1" applyFill="1" applyBorder="1" applyAlignment="1" applyProtection="1">
      <alignment horizontal="center" vertical="center"/>
    </xf>
    <xf numFmtId="0" fontId="1" fillId="4" borderId="84" xfId="0" applyFont="1" applyFill="1" applyBorder="1" applyAlignment="1" applyProtection="1">
      <alignment horizontal="center" vertical="center"/>
      <protection locked="0"/>
    </xf>
    <xf numFmtId="0" fontId="20" fillId="3" borderId="84" xfId="0" applyFont="1" applyFill="1" applyBorder="1" applyAlignment="1" applyProtection="1">
      <alignment horizontal="center" vertical="center" wrapText="1"/>
    </xf>
    <xf numFmtId="0" fontId="20" fillId="3" borderId="84" xfId="0" applyFont="1" applyFill="1" applyBorder="1" applyAlignment="1" applyProtection="1">
      <alignment horizontal="center" vertical="center"/>
    </xf>
    <xf numFmtId="0" fontId="1" fillId="4" borderId="84" xfId="0" applyFont="1" applyFill="1" applyBorder="1" applyAlignment="1" applyProtection="1">
      <alignment horizontal="center" vertical="center"/>
    </xf>
    <xf numFmtId="0" fontId="1" fillId="4" borderId="85" xfId="0" applyFont="1" applyFill="1" applyBorder="1" applyAlignment="1" applyProtection="1">
      <alignment horizontal="center" vertical="center"/>
    </xf>
    <xf numFmtId="0" fontId="1" fillId="3" borderId="46" xfId="0" applyFont="1" applyFill="1" applyBorder="1" applyAlignment="1">
      <alignment horizontal="center" vertical="center"/>
    </xf>
    <xf numFmtId="0" fontId="1" fillId="4" borderId="46" xfId="0" applyFont="1" applyFill="1" applyBorder="1" applyAlignment="1" applyProtection="1">
      <alignment horizontal="center" vertical="center"/>
      <protection locked="0"/>
    </xf>
    <xf numFmtId="0" fontId="1" fillId="4" borderId="86" xfId="0" applyFont="1" applyFill="1" applyBorder="1" applyAlignment="1" applyProtection="1">
      <alignment horizontal="center" vertical="center"/>
      <protection locked="0"/>
    </xf>
    <xf numFmtId="0" fontId="25" fillId="0" borderId="87" xfId="0" applyFont="1" applyBorder="1" applyAlignment="1">
      <alignment horizontal="center" vertical="center" wrapText="1"/>
    </xf>
    <xf numFmtId="0" fontId="6" fillId="5" borderId="88" xfId="0" applyFont="1" applyFill="1" applyBorder="1" applyAlignment="1">
      <alignment horizontal="center" vertical="center"/>
    </xf>
    <xf numFmtId="0" fontId="6" fillId="5" borderId="89" xfId="0" applyFont="1" applyFill="1" applyBorder="1" applyAlignment="1">
      <alignment horizontal="center" vertical="center"/>
    </xf>
    <xf numFmtId="0" fontId="26" fillId="6" borderId="89" xfId="0" applyFont="1" applyFill="1" applyBorder="1" applyAlignment="1" applyProtection="1">
      <alignment horizontal="center" vertical="center"/>
      <protection locked="0"/>
    </xf>
    <xf numFmtId="0" fontId="26" fillId="6" borderId="90" xfId="0" applyFont="1" applyFill="1" applyBorder="1" applyAlignment="1" applyProtection="1">
      <alignment horizontal="center" vertical="center"/>
      <protection locked="0"/>
    </xf>
    <xf numFmtId="0" fontId="27" fillId="4" borderId="41" xfId="0" applyFont="1" applyFill="1" applyBorder="1" applyAlignment="1" applyProtection="1">
      <alignment horizontal="left" vertical="center" wrapText="1"/>
      <protection locked="0"/>
    </xf>
    <xf numFmtId="0" fontId="27" fillId="4" borderId="42" xfId="0" applyFont="1" applyFill="1" applyBorder="1" applyAlignment="1" applyProtection="1">
      <alignment horizontal="left" vertical="center" wrapText="1"/>
      <protection locked="0"/>
    </xf>
    <xf numFmtId="0" fontId="27" fillId="4" borderId="69" xfId="0" applyFont="1" applyFill="1" applyBorder="1" applyAlignment="1" applyProtection="1">
      <alignment horizontal="left" vertical="center" wrapText="1"/>
      <protection locked="0"/>
    </xf>
    <xf numFmtId="0" fontId="27" fillId="4" borderId="9" xfId="0" applyFont="1" applyFill="1" applyBorder="1" applyAlignment="1" applyProtection="1">
      <alignment horizontal="left" vertical="center" wrapText="1"/>
      <protection locked="0"/>
    </xf>
    <xf numFmtId="0" fontId="27" fillId="4" borderId="66" xfId="0" applyFont="1" applyFill="1" applyBorder="1" applyAlignment="1" applyProtection="1">
      <alignment horizontal="left" vertical="center" wrapText="1"/>
      <protection locked="0"/>
    </xf>
    <xf numFmtId="0" fontId="27" fillId="4" borderId="19" xfId="0" applyFont="1" applyFill="1" applyBorder="1" applyAlignment="1" applyProtection="1">
      <alignment horizontal="left" vertical="center" wrapText="1"/>
      <protection locked="0"/>
    </xf>
    <xf numFmtId="0" fontId="4" fillId="0" borderId="0" xfId="0" applyFont="1" applyFill="1" applyBorder="1" applyAlignment="1" applyProtection="1">
      <alignment vertical="center" wrapText="1"/>
    </xf>
    <xf numFmtId="0" fontId="1" fillId="3" borderId="91" xfId="0" applyFont="1" applyFill="1" applyBorder="1" applyAlignment="1" applyProtection="1">
      <alignment horizontal="center" vertical="center"/>
    </xf>
    <xf numFmtId="0" fontId="1" fillId="3" borderId="92" xfId="0" applyFont="1" applyFill="1" applyBorder="1" applyAlignment="1" applyProtection="1">
      <alignment horizontal="center" vertical="center"/>
    </xf>
    <xf numFmtId="0" fontId="1" fillId="4" borderId="92" xfId="0" applyFont="1" applyFill="1" applyBorder="1" applyAlignment="1" applyProtection="1">
      <alignment horizontal="center" vertical="center"/>
      <protection locked="0"/>
    </xf>
    <xf numFmtId="0" fontId="20" fillId="3" borderId="92" xfId="0" applyFont="1" applyFill="1" applyBorder="1" applyAlignment="1" applyProtection="1">
      <alignment horizontal="center" vertical="center"/>
    </xf>
    <xf numFmtId="0" fontId="1" fillId="4" borderId="92" xfId="0" applyFont="1" applyFill="1" applyBorder="1" applyAlignment="1" applyProtection="1">
      <alignment horizontal="center" vertical="center"/>
    </xf>
    <xf numFmtId="0" fontId="1" fillId="4" borderId="93" xfId="0" applyFont="1" applyFill="1" applyBorder="1" applyAlignment="1" applyProtection="1">
      <alignment horizontal="center" vertical="center"/>
    </xf>
    <xf numFmtId="0" fontId="1" fillId="3" borderId="94" xfId="0" applyFont="1" applyFill="1" applyBorder="1" applyAlignment="1">
      <alignment horizontal="center" vertical="center"/>
    </xf>
    <xf numFmtId="0" fontId="1" fillId="4" borderId="94" xfId="0" applyFont="1" applyFill="1" applyBorder="1" applyAlignment="1" applyProtection="1">
      <alignment horizontal="center" vertical="center"/>
      <protection locked="0"/>
    </xf>
    <xf numFmtId="0" fontId="1" fillId="4" borderId="16" xfId="0" applyFont="1" applyFill="1" applyBorder="1" applyAlignment="1" applyProtection="1">
      <alignment horizontal="center" vertical="center"/>
      <protection locked="0"/>
    </xf>
    <xf numFmtId="0" fontId="25" fillId="0" borderId="58" xfId="0" applyFont="1" applyBorder="1" applyAlignment="1">
      <alignment horizontal="center" vertical="center" wrapText="1"/>
    </xf>
    <xf numFmtId="0" fontId="6" fillId="5" borderId="95" xfId="0" applyFont="1" applyFill="1" applyBorder="1" applyAlignment="1">
      <alignment horizontal="center" vertical="center"/>
    </xf>
    <xf numFmtId="0" fontId="6" fillId="5" borderId="96" xfId="0" applyFont="1" applyFill="1" applyBorder="1" applyAlignment="1">
      <alignment horizontal="center" vertical="center"/>
    </xf>
    <xf numFmtId="0" fontId="26" fillId="6" borderId="96" xfId="0" applyFont="1" applyFill="1" applyBorder="1" applyAlignment="1" applyProtection="1">
      <alignment horizontal="center" vertical="center"/>
      <protection locked="0"/>
    </xf>
    <xf numFmtId="0" fontId="26" fillId="6" borderId="97" xfId="0" applyFont="1" applyFill="1" applyBorder="1" applyAlignment="1" applyProtection="1">
      <alignment horizontal="center" vertical="center"/>
      <protection locked="0"/>
    </xf>
    <xf numFmtId="0" fontId="27" fillId="4" borderId="49" xfId="0" applyFont="1" applyFill="1" applyBorder="1" applyAlignment="1" applyProtection="1">
      <alignment horizontal="left" vertical="center" wrapText="1"/>
      <protection locked="0"/>
    </xf>
    <xf numFmtId="0" fontId="27" fillId="4" borderId="0" xfId="0" applyFont="1" applyFill="1" applyAlignment="1" applyProtection="1">
      <alignment horizontal="left" vertical="center" wrapText="1"/>
      <protection locked="0"/>
    </xf>
    <xf numFmtId="0" fontId="27" fillId="4" borderId="74" xfId="0" applyFont="1" applyFill="1" applyBorder="1" applyAlignment="1" applyProtection="1">
      <alignment horizontal="left" vertical="center" wrapText="1"/>
      <protection locked="0"/>
    </xf>
    <xf numFmtId="0" fontId="1" fillId="3" borderId="17" xfId="0" applyFont="1" applyFill="1" applyBorder="1" applyAlignment="1">
      <alignment horizontal="center" vertical="center"/>
    </xf>
    <xf numFmtId="0" fontId="1" fillId="3" borderId="21" xfId="0" applyFont="1" applyFill="1" applyBorder="1" applyAlignment="1">
      <alignment horizontal="center" vertical="center"/>
    </xf>
    <xf numFmtId="0" fontId="1" fillId="3" borderId="18" xfId="0" applyFont="1" applyFill="1" applyBorder="1" applyAlignment="1">
      <alignment horizontal="center" vertical="center"/>
    </xf>
    <xf numFmtId="0" fontId="20" fillId="4" borderId="8" xfId="0" applyFont="1" applyFill="1" applyBorder="1" applyAlignment="1" applyProtection="1">
      <alignment horizontal="center" vertical="center"/>
      <protection locked="0"/>
    </xf>
    <xf numFmtId="0" fontId="20" fillId="4" borderId="9" xfId="0" applyFont="1" applyFill="1" applyBorder="1" applyAlignment="1" applyProtection="1">
      <alignment horizontal="center" vertical="center"/>
      <protection locked="0"/>
    </xf>
    <xf numFmtId="0" fontId="20" fillId="4" borderId="19" xfId="0" applyFont="1" applyFill="1" applyBorder="1" applyAlignment="1" applyProtection="1">
      <alignment horizontal="center" vertical="center"/>
      <protection locked="0"/>
    </xf>
    <xf numFmtId="0" fontId="20" fillId="4" borderId="8" xfId="0" applyFont="1" applyFill="1" applyBorder="1" applyAlignment="1" applyProtection="1">
      <alignment horizontal="left" vertical="top" wrapText="1"/>
      <protection locked="0"/>
    </xf>
    <xf numFmtId="0" fontId="20" fillId="4" borderId="9" xfId="0" applyFont="1" applyFill="1" applyBorder="1" applyAlignment="1" applyProtection="1">
      <alignment horizontal="left" vertical="top" wrapText="1"/>
      <protection locked="0"/>
    </xf>
    <xf numFmtId="0" fontId="20" fillId="4" borderId="19" xfId="0" applyFont="1" applyFill="1" applyBorder="1" applyAlignment="1" applyProtection="1">
      <alignment horizontal="left" vertical="top" wrapText="1"/>
      <protection locked="0"/>
    </xf>
    <xf numFmtId="0" fontId="4" fillId="0" borderId="0" xfId="0" applyFont="1" applyFill="1" applyBorder="1" applyAlignment="1" applyProtection="1">
      <alignment vertical="center" wrapText="1"/>
      <protection locked="0"/>
    </xf>
    <xf numFmtId="0" fontId="27" fillId="4" borderId="8" xfId="0" applyFont="1" applyFill="1" applyBorder="1" applyAlignment="1" applyProtection="1">
      <alignment horizontal="center" vertical="center"/>
      <protection locked="0"/>
    </xf>
    <xf numFmtId="0" fontId="27" fillId="4" borderId="9" xfId="0" applyFont="1" applyFill="1" applyBorder="1" applyAlignment="1" applyProtection="1">
      <alignment horizontal="center" vertical="center"/>
      <protection locked="0"/>
    </xf>
    <xf numFmtId="0" fontId="27" fillId="4" borderId="19" xfId="0" applyFont="1" applyFill="1" applyBorder="1" applyAlignment="1" applyProtection="1">
      <alignment horizontal="center" vertical="center"/>
      <protection locked="0"/>
    </xf>
    <xf numFmtId="0" fontId="22" fillId="4" borderId="60" xfId="0" applyFont="1" applyFill="1" applyBorder="1" applyAlignment="1" applyProtection="1">
      <alignment horizontal="left" vertical="top" wrapText="1"/>
      <protection locked="0"/>
    </xf>
    <xf numFmtId="0" fontId="22" fillId="4" borderId="61" xfId="0" applyFont="1" applyFill="1" applyBorder="1" applyAlignment="1" applyProtection="1">
      <alignment horizontal="left" vertical="top" wrapText="1"/>
      <protection locked="0"/>
    </xf>
    <xf numFmtId="0" fontId="22" fillId="4" borderId="98" xfId="0" applyFont="1" applyFill="1" applyBorder="1" applyAlignment="1" applyProtection="1">
      <alignment horizontal="left" vertical="top" wrapText="1"/>
      <protection locked="0"/>
    </xf>
    <xf numFmtId="0" fontId="20" fillId="4" borderId="13" xfId="0" applyFont="1" applyFill="1" applyBorder="1" applyAlignment="1" applyProtection="1">
      <alignment horizontal="center" vertical="center"/>
      <protection locked="0"/>
    </xf>
    <xf numFmtId="0" fontId="20" fillId="4" borderId="14" xfId="0" applyFont="1" applyFill="1" applyBorder="1" applyAlignment="1" applyProtection="1">
      <alignment horizontal="center" vertical="center"/>
      <protection locked="0"/>
    </xf>
    <xf numFmtId="0" fontId="20" fillId="4" borderId="20" xfId="0" applyFont="1" applyFill="1" applyBorder="1" applyAlignment="1" applyProtection="1">
      <alignment horizontal="center" vertical="center"/>
      <protection locked="0"/>
    </xf>
    <xf numFmtId="0" fontId="20" fillId="4" borderId="13" xfId="0" applyFont="1" applyFill="1" applyBorder="1" applyAlignment="1" applyProtection="1">
      <alignment horizontal="left" vertical="top" wrapText="1"/>
      <protection locked="0"/>
    </xf>
    <xf numFmtId="0" fontId="20" fillId="4" borderId="14" xfId="0" applyFont="1" applyFill="1" applyBorder="1" applyAlignment="1" applyProtection="1">
      <alignment horizontal="left" vertical="top" wrapText="1"/>
      <protection locked="0"/>
    </xf>
    <xf numFmtId="0" fontId="20" fillId="4" borderId="20" xfId="0" applyFont="1" applyFill="1" applyBorder="1" applyAlignment="1" applyProtection="1">
      <alignment horizontal="left" vertical="top" wrapText="1"/>
      <protection locked="0"/>
    </xf>
    <xf numFmtId="0" fontId="27" fillId="4" borderId="99" xfId="0" applyFont="1" applyFill="1" applyBorder="1" applyAlignment="1" applyProtection="1">
      <alignment horizontal="left" vertical="center" wrapText="1"/>
      <protection locked="0"/>
    </xf>
    <xf numFmtId="0" fontId="27" fillId="4" borderId="61" xfId="0" applyFont="1" applyFill="1" applyBorder="1" applyAlignment="1" applyProtection="1">
      <alignment horizontal="left" vertical="center" wrapText="1"/>
      <protection locked="0"/>
    </xf>
    <xf numFmtId="0" fontId="27" fillId="4" borderId="100" xfId="0" applyFont="1" applyFill="1" applyBorder="1" applyAlignment="1" applyProtection="1">
      <alignment horizontal="left" vertical="center" wrapText="1"/>
      <protection locked="0"/>
    </xf>
    <xf numFmtId="0" fontId="1" fillId="3" borderId="101" xfId="0" applyFont="1" applyFill="1" applyBorder="1" applyAlignment="1" applyProtection="1">
      <alignment horizontal="center" vertical="center"/>
    </xf>
    <xf numFmtId="0" fontId="27" fillId="4" borderId="14" xfId="0" applyFont="1" applyFill="1" applyBorder="1" applyAlignment="1" applyProtection="1">
      <alignment horizontal="left" vertical="center" wrapText="1"/>
      <protection locked="0"/>
    </xf>
    <xf numFmtId="0" fontId="27" fillId="4" borderId="102" xfId="0" applyFont="1" applyFill="1" applyBorder="1" applyAlignment="1" applyProtection="1">
      <alignment horizontal="left" vertical="center" wrapText="1"/>
      <protection locked="0"/>
    </xf>
    <xf numFmtId="0" fontId="7" fillId="3" borderId="101" xfId="0" applyFont="1" applyFill="1" applyBorder="1" applyAlignment="1" applyProtection="1">
      <alignment horizontal="center" vertical="center"/>
    </xf>
    <xf numFmtId="0" fontId="27" fillId="4" borderId="20" xfId="0" applyFont="1" applyFill="1" applyBorder="1" applyAlignment="1" applyProtection="1">
      <alignment horizontal="left" vertical="center" wrapText="1"/>
      <protection locked="0"/>
    </xf>
    <xf numFmtId="0" fontId="0" fillId="0" borderId="0" xfId="0" applyFill="1" applyBorder="1" applyAlignment="1">
      <alignment vertical="center"/>
    </xf>
    <xf numFmtId="0" fontId="5" fillId="2" borderId="22" xfId="0" applyFont="1" applyFill="1" applyBorder="1" applyAlignment="1">
      <alignment horizontal="center" vertical="center"/>
    </xf>
    <xf numFmtId="0" fontId="5" fillId="2" borderId="103" xfId="0" applyFont="1" applyFill="1" applyBorder="1" applyAlignment="1" applyProtection="1">
      <alignment horizontal="center" vertical="center"/>
    </xf>
    <xf numFmtId="0" fontId="20" fillId="4" borderId="41" xfId="0" applyFont="1" applyFill="1" applyBorder="1" applyAlignment="1" applyProtection="1">
      <alignment horizontal="left" vertical="center" wrapText="1"/>
      <protection locked="0"/>
    </xf>
    <xf numFmtId="0" fontId="20" fillId="4" borderId="42" xfId="0" applyFont="1" applyFill="1" applyBorder="1" applyAlignment="1" applyProtection="1">
      <alignment horizontal="left" vertical="center" wrapText="1"/>
      <protection locked="0"/>
    </xf>
    <xf numFmtId="0" fontId="20" fillId="4" borderId="104" xfId="0" applyFont="1" applyFill="1" applyBorder="1" applyAlignment="1" applyProtection="1">
      <alignment horizontal="left" vertical="center" wrapText="1"/>
      <protection locked="0"/>
    </xf>
    <xf numFmtId="0" fontId="1" fillId="3" borderId="0" xfId="0" applyFont="1" applyFill="1" applyBorder="1" applyAlignment="1" applyProtection="1">
      <alignment horizontal="center" vertical="center"/>
    </xf>
    <xf numFmtId="0" fontId="20" fillId="4" borderId="54" xfId="0" applyFont="1" applyFill="1" applyBorder="1" applyAlignment="1" applyProtection="1">
      <alignment horizontal="left" vertical="center" wrapText="1"/>
      <protection locked="0"/>
    </xf>
    <xf numFmtId="0" fontId="1" fillId="3" borderId="60" xfId="0" applyFont="1" applyFill="1" applyBorder="1" applyAlignment="1" applyProtection="1">
      <alignment horizontal="center" vertical="center"/>
    </xf>
    <xf numFmtId="0" fontId="1" fillId="3" borderId="61" xfId="0" applyFont="1" applyFill="1" applyBorder="1" applyAlignment="1" applyProtection="1">
      <alignment horizontal="center" vertical="center"/>
    </xf>
    <xf numFmtId="0" fontId="1" fillId="3" borderId="105" xfId="0" applyFont="1" applyFill="1" applyBorder="1" applyAlignment="1" applyProtection="1">
      <alignment horizontal="center" vertical="center"/>
    </xf>
    <xf numFmtId="0" fontId="1" fillId="4" borderId="99" xfId="0" applyFont="1" applyFill="1" applyBorder="1" applyAlignment="1" applyProtection="1">
      <alignment horizontal="center" vertical="center"/>
      <protection locked="0"/>
    </xf>
    <xf numFmtId="0" fontId="1" fillId="4" borderId="61" xfId="0" applyFont="1" applyFill="1" applyBorder="1" applyAlignment="1" applyProtection="1">
      <alignment horizontal="center" vertical="center"/>
      <protection locked="0"/>
    </xf>
    <xf numFmtId="0" fontId="1" fillId="3" borderId="99" xfId="0" applyFont="1" applyFill="1" applyBorder="1" applyAlignment="1" applyProtection="1">
      <alignment horizontal="center" vertical="center"/>
    </xf>
    <xf numFmtId="0" fontId="20" fillId="4" borderId="99" xfId="0" applyFont="1" applyFill="1" applyBorder="1" applyAlignment="1" applyProtection="1">
      <alignment horizontal="left" vertical="center" wrapText="1"/>
      <protection locked="0"/>
    </xf>
    <xf numFmtId="0" fontId="20" fillId="4" borderId="61" xfId="0" applyFont="1" applyFill="1" applyBorder="1" applyAlignment="1" applyProtection="1">
      <alignment horizontal="left" vertical="center" wrapText="1"/>
      <protection locked="0"/>
    </xf>
    <xf numFmtId="0" fontId="20" fillId="4" borderId="106" xfId="0" applyFont="1" applyFill="1" applyBorder="1" applyAlignment="1" applyProtection="1">
      <alignment horizontal="left" vertical="center" wrapText="1"/>
      <protection locked="0"/>
    </xf>
    <xf numFmtId="0" fontId="20" fillId="4" borderId="98" xfId="0" applyFont="1" applyFill="1" applyBorder="1" applyAlignment="1" applyProtection="1">
      <alignment horizontal="left" vertical="center" wrapText="1"/>
      <protection locked="0"/>
    </xf>
    <xf numFmtId="0" fontId="5" fillId="2" borderId="107" xfId="0" applyFont="1" applyFill="1" applyBorder="1" applyAlignment="1">
      <alignment horizontal="center" vertical="center"/>
    </xf>
    <xf numFmtId="0" fontId="5" fillId="2" borderId="108" xfId="0" applyFont="1" applyFill="1" applyBorder="1" applyAlignment="1">
      <alignment horizontal="center" vertical="center"/>
    </xf>
    <xf numFmtId="0" fontId="5" fillId="2" borderId="109" xfId="0" applyFont="1" applyFill="1" applyBorder="1" applyAlignment="1">
      <alignment horizontal="center" vertical="center"/>
    </xf>
    <xf numFmtId="0" fontId="5" fillId="2" borderId="110" xfId="0" applyFont="1" applyFill="1" applyBorder="1" applyAlignment="1">
      <alignment horizontal="center" vertical="center"/>
    </xf>
    <xf numFmtId="0" fontId="5" fillId="2" borderId="111" xfId="0" applyFont="1" applyFill="1" applyBorder="1" applyAlignment="1">
      <alignment horizontal="center" vertical="center"/>
    </xf>
    <xf numFmtId="0" fontId="5" fillId="2" borderId="112" xfId="0" applyFont="1" applyFill="1" applyBorder="1" applyAlignment="1">
      <alignment horizontal="center" vertical="center"/>
    </xf>
    <xf numFmtId="0" fontId="1" fillId="3" borderId="36" xfId="0" applyFont="1" applyFill="1" applyBorder="1" applyAlignment="1">
      <alignment horizontal="center" vertical="center"/>
    </xf>
    <xf numFmtId="0" fontId="1" fillId="3" borderId="36" xfId="0" applyFont="1" applyFill="1" applyBorder="1" applyAlignment="1">
      <alignment horizontal="left" vertical="center"/>
    </xf>
    <xf numFmtId="0" fontId="1" fillId="3" borderId="67" xfId="0" applyFont="1" applyFill="1" applyBorder="1" applyAlignment="1">
      <alignment horizontal="left" vertical="center"/>
    </xf>
    <xf numFmtId="0" fontId="1" fillId="3" borderId="68" xfId="0" applyFont="1" applyFill="1" applyBorder="1" applyAlignment="1">
      <alignment horizontal="center" vertical="center"/>
    </xf>
    <xf numFmtId="0" fontId="1" fillId="3" borderId="49" xfId="0" applyFont="1" applyFill="1" applyBorder="1" applyAlignment="1">
      <alignment horizontal="center" vertical="center"/>
    </xf>
    <xf numFmtId="0" fontId="1" fillId="3" borderId="0" xfId="0" applyFont="1" applyFill="1" applyBorder="1" applyAlignment="1">
      <alignment horizontal="center" vertical="center"/>
    </xf>
    <xf numFmtId="0" fontId="1" fillId="3" borderId="41" xfId="0" applyFont="1" applyFill="1" applyBorder="1" applyAlignment="1">
      <alignment horizontal="left" vertical="top"/>
    </xf>
    <xf numFmtId="0" fontId="1" fillId="3" borderId="42" xfId="0" applyFont="1" applyFill="1" applyBorder="1" applyAlignment="1">
      <alignment horizontal="left" vertical="top"/>
    </xf>
    <xf numFmtId="0" fontId="1" fillId="3" borderId="36" xfId="0" applyFont="1" applyFill="1" applyBorder="1" applyAlignment="1">
      <alignment horizontal="left" vertical="top"/>
    </xf>
    <xf numFmtId="0" fontId="1" fillId="3" borderId="11" xfId="0" applyFont="1" applyFill="1" applyBorder="1" applyAlignment="1">
      <alignment horizontal="left" vertical="top"/>
    </xf>
    <xf numFmtId="0" fontId="20" fillId="4" borderId="9" xfId="0" applyFont="1" applyFill="1" applyBorder="1" applyAlignment="1">
      <alignment horizontal="left" vertical="center" wrapText="1"/>
    </xf>
    <xf numFmtId="0" fontId="20" fillId="4" borderId="66" xfId="0" applyFont="1" applyFill="1" applyBorder="1" applyAlignment="1">
      <alignment horizontal="left" vertical="center" wrapText="1"/>
    </xf>
    <xf numFmtId="0" fontId="1" fillId="4" borderId="38" xfId="0" applyFont="1" applyFill="1" applyBorder="1" applyAlignment="1" applyProtection="1">
      <alignment horizontal="center" vertical="center"/>
      <protection locked="0"/>
    </xf>
    <xf numFmtId="0" fontId="20" fillId="4" borderId="9" xfId="0" applyFont="1" applyFill="1" applyBorder="1" applyAlignment="1">
      <alignment horizontal="center" vertical="center" wrapText="1"/>
    </xf>
    <xf numFmtId="0" fontId="20" fillId="4" borderId="19" xfId="0" applyFont="1" applyFill="1" applyBorder="1" applyAlignment="1">
      <alignment horizontal="left" vertical="center" wrapText="1"/>
    </xf>
    <xf numFmtId="0" fontId="1" fillId="3" borderId="8" xfId="0" applyFont="1" applyFill="1" applyBorder="1" applyAlignment="1" applyProtection="1">
      <alignment horizontal="center" vertical="center"/>
      <protection locked="0"/>
    </xf>
    <xf numFmtId="0" fontId="1" fillId="3" borderId="9" xfId="0" applyFont="1" applyFill="1" applyBorder="1" applyAlignment="1" applyProtection="1">
      <alignment horizontal="center" vertical="center"/>
      <protection locked="0"/>
    </xf>
    <xf numFmtId="0" fontId="20" fillId="3" borderId="9" xfId="0" applyFont="1" applyFill="1" applyBorder="1" applyAlignment="1" applyProtection="1">
      <alignment horizontal="left" vertical="center" wrapText="1"/>
      <protection locked="0"/>
    </xf>
    <xf numFmtId="0" fontId="20" fillId="3" borderId="66" xfId="0" applyFont="1" applyFill="1" applyBorder="1" applyAlignment="1">
      <alignment horizontal="left" vertical="center" wrapText="1"/>
    </xf>
    <xf numFmtId="0" fontId="1" fillId="3" borderId="38" xfId="0" applyFont="1" applyFill="1" applyBorder="1" applyAlignment="1" applyProtection="1">
      <alignment horizontal="center" vertical="center"/>
      <protection locked="0"/>
    </xf>
    <xf numFmtId="0" fontId="20" fillId="3" borderId="9" xfId="0" applyFont="1" applyFill="1" applyBorder="1" applyAlignment="1">
      <alignment horizontal="center" vertical="center" wrapText="1"/>
    </xf>
    <xf numFmtId="0" fontId="1" fillId="3" borderId="13" xfId="0" applyFont="1" applyFill="1" applyBorder="1" applyAlignment="1" applyProtection="1">
      <alignment horizontal="center" vertical="center"/>
      <protection locked="0"/>
    </xf>
    <xf numFmtId="0" fontId="1" fillId="3" borderId="14" xfId="0" applyFont="1" applyFill="1" applyBorder="1" applyAlignment="1" applyProtection="1">
      <alignment horizontal="center" vertical="center"/>
      <protection locked="0"/>
    </xf>
    <xf numFmtId="0" fontId="20" fillId="3" borderId="14" xfId="0" applyFont="1" applyFill="1" applyBorder="1" applyAlignment="1" applyProtection="1">
      <alignment horizontal="left" vertical="center" wrapText="1"/>
      <protection locked="0"/>
    </xf>
    <xf numFmtId="0" fontId="20" fillId="3" borderId="14" xfId="0" applyFont="1" applyFill="1" applyBorder="1" applyAlignment="1">
      <alignment horizontal="left" vertical="center" wrapText="1"/>
    </xf>
    <xf numFmtId="0" fontId="20" fillId="3" borderId="102" xfId="0" applyFont="1" applyFill="1" applyBorder="1" applyAlignment="1">
      <alignment horizontal="left" vertical="center" wrapText="1"/>
    </xf>
    <xf numFmtId="0" fontId="1" fillId="3" borderId="101" xfId="0" applyFont="1" applyFill="1" applyBorder="1" applyAlignment="1" applyProtection="1">
      <alignment horizontal="center" vertical="center"/>
      <protection locked="0"/>
    </xf>
    <xf numFmtId="0" fontId="20" fillId="3" borderId="14" xfId="0" applyFont="1" applyFill="1" applyBorder="1" applyAlignment="1">
      <alignment horizontal="center" vertical="center" wrapText="1"/>
    </xf>
    <xf numFmtId="0" fontId="20" fillId="3" borderId="20" xfId="0" applyFont="1" applyFill="1" applyBorder="1" applyAlignment="1">
      <alignment horizontal="left" vertical="center" wrapText="1"/>
    </xf>
    <xf numFmtId="0" fontId="21" fillId="0" borderId="0" xfId="0" applyFont="1" applyAlignment="1">
      <alignment horizontal="center" vertical="center"/>
    </xf>
    <xf numFmtId="0" fontId="5" fillId="2" borderId="65" xfId="0" applyFont="1" applyFill="1" applyBorder="1" applyAlignment="1">
      <alignment horizontal="center" vertical="center"/>
    </xf>
    <xf numFmtId="0" fontId="5" fillId="2" borderId="63" xfId="0" applyFont="1" applyFill="1" applyBorder="1" applyAlignment="1">
      <alignment horizontal="center" vertical="center"/>
    </xf>
    <xf numFmtId="0" fontId="5" fillId="2" borderId="46" xfId="0" applyFont="1" applyFill="1" applyBorder="1" applyAlignment="1">
      <alignment horizontal="center" vertical="center"/>
    </xf>
    <xf numFmtId="0" fontId="12" fillId="4" borderId="9" xfId="0" applyFont="1" applyFill="1" applyBorder="1" applyAlignment="1" applyProtection="1">
      <alignment horizontal="center" vertical="center"/>
      <protection locked="0"/>
    </xf>
    <xf numFmtId="0" fontId="20" fillId="4" borderId="66" xfId="0" applyFont="1" applyFill="1" applyBorder="1" applyAlignment="1" applyProtection="1">
      <alignment horizontal="left" vertical="center" wrapText="1"/>
      <protection locked="0"/>
    </xf>
    <xf numFmtId="0" fontId="20" fillId="4" borderId="9" xfId="0" applyFont="1" applyFill="1" applyBorder="1" applyAlignment="1" applyProtection="1">
      <alignment horizontal="center" vertical="center" wrapText="1"/>
      <protection locked="0"/>
    </xf>
    <xf numFmtId="0" fontId="12" fillId="3" borderId="9" xfId="0" applyFont="1" applyFill="1" applyBorder="1" applyAlignment="1" applyProtection="1">
      <alignment horizontal="center" vertical="center"/>
      <protection locked="0"/>
    </xf>
    <xf numFmtId="0" fontId="20" fillId="3" borderId="66" xfId="0" applyFont="1" applyFill="1" applyBorder="1" applyAlignment="1" applyProtection="1">
      <alignment horizontal="left" vertical="center" wrapText="1"/>
      <protection locked="0"/>
    </xf>
    <xf numFmtId="0" fontId="1" fillId="3" borderId="9" xfId="0" applyFont="1" applyFill="1" applyBorder="1" applyAlignment="1" applyProtection="1">
      <alignment horizontal="center" vertical="center" wrapText="1"/>
      <protection locked="0"/>
    </xf>
    <xf numFmtId="0" fontId="20" fillId="3" borderId="9" xfId="0" applyFont="1" applyFill="1" applyBorder="1" applyAlignment="1" applyProtection="1">
      <alignment horizontal="center" vertical="center" wrapText="1"/>
      <protection locked="0"/>
    </xf>
    <xf numFmtId="0" fontId="20" fillId="3" borderId="19" xfId="0" applyFont="1" applyFill="1" applyBorder="1" applyAlignment="1" applyProtection="1">
      <alignment horizontal="left" vertical="center" wrapText="1"/>
      <protection locked="0"/>
    </xf>
    <xf numFmtId="0" fontId="20" fillId="3" borderId="102" xfId="0" applyFont="1" applyFill="1" applyBorder="1" applyAlignment="1" applyProtection="1">
      <alignment horizontal="left" vertical="center" wrapText="1"/>
      <protection locked="0"/>
    </xf>
    <xf numFmtId="0" fontId="1" fillId="3" borderId="14" xfId="0" applyFont="1" applyFill="1" applyBorder="1" applyAlignment="1" applyProtection="1">
      <alignment horizontal="center" vertical="center" wrapText="1"/>
      <protection locked="0"/>
    </xf>
    <xf numFmtId="0" fontId="20" fillId="3" borderId="14" xfId="0" applyFont="1" applyFill="1" applyBorder="1" applyAlignment="1" applyProtection="1">
      <alignment horizontal="center" vertical="center" wrapText="1"/>
      <protection locked="0"/>
    </xf>
    <xf numFmtId="0" fontId="20" fillId="3" borderId="20" xfId="0" applyFont="1" applyFill="1" applyBorder="1" applyAlignment="1" applyProtection="1">
      <alignment horizontal="left" vertical="center" wrapText="1"/>
      <protection locked="0"/>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27" fillId="0" borderId="3" xfId="0" applyFont="1" applyBorder="1" applyAlignment="1">
      <alignment horizontal="center" vertical="center" wrapText="1"/>
    </xf>
    <xf numFmtId="0" fontId="5" fillId="0" borderId="0" xfId="0" applyFont="1" applyAlignment="1">
      <alignment vertical="center" wrapText="1"/>
    </xf>
    <xf numFmtId="0" fontId="27" fillId="0" borderId="55" xfId="0" applyFont="1" applyBorder="1" applyAlignment="1">
      <alignment horizontal="center" vertical="center" wrapText="1"/>
    </xf>
    <xf numFmtId="0" fontId="27" fillId="0" borderId="0" xfId="0" applyFont="1" applyAlignment="1">
      <alignment horizontal="center" vertical="center" wrapText="1"/>
    </xf>
    <xf numFmtId="0" fontId="27" fillId="0" borderId="56" xfId="0" applyFont="1" applyBorder="1" applyAlignment="1">
      <alignment horizontal="center" vertical="center" wrapText="1"/>
    </xf>
    <xf numFmtId="0" fontId="7" fillId="0" borderId="8" xfId="0" applyNumberFormat="1" applyFont="1" applyBorder="1" applyAlignment="1" applyProtection="1">
      <alignment horizontal="left" vertical="top" wrapText="1"/>
      <protection locked="0"/>
    </xf>
    <xf numFmtId="0" fontId="7" fillId="0" borderId="9" xfId="0" applyNumberFormat="1" applyFont="1" applyBorder="1" applyAlignment="1" applyProtection="1">
      <alignment horizontal="left" vertical="top" wrapText="1"/>
      <protection locked="0"/>
    </xf>
    <xf numFmtId="0" fontId="7" fillId="0" borderId="9" xfId="0" applyFont="1" applyBorder="1" applyAlignment="1" applyProtection="1">
      <alignment horizontal="left" vertical="top" wrapText="1"/>
      <protection locked="0"/>
    </xf>
    <xf numFmtId="0" fontId="7" fillId="0" borderId="19" xfId="0" applyFont="1" applyBorder="1" applyAlignment="1" applyProtection="1">
      <alignment horizontal="left" vertical="top" wrapText="1"/>
      <protection locked="0"/>
    </xf>
    <xf numFmtId="0" fontId="7" fillId="0" borderId="13" xfId="0" applyNumberFormat="1" applyFont="1" applyBorder="1" applyAlignment="1" applyProtection="1">
      <alignment horizontal="left" vertical="top" wrapText="1"/>
      <protection locked="0"/>
    </xf>
    <xf numFmtId="0" fontId="7" fillId="0" borderId="14" xfId="0" applyNumberFormat="1" applyFont="1" applyBorder="1" applyAlignment="1" applyProtection="1">
      <alignment horizontal="left" vertical="top" wrapText="1"/>
      <protection locked="0"/>
    </xf>
    <xf numFmtId="0" fontId="7" fillId="0" borderId="14" xfId="0" applyFont="1" applyBorder="1" applyAlignment="1" applyProtection="1">
      <alignment horizontal="left" vertical="top" wrapText="1"/>
      <protection locked="0"/>
    </xf>
    <xf numFmtId="0" fontId="7" fillId="0" borderId="20" xfId="0" applyFont="1" applyBorder="1" applyAlignment="1" applyProtection="1">
      <alignment horizontal="left" vertical="top" wrapText="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EEE4E2"/>
      <color rgb="00F2ECDA"/>
      <color rgb="00F8F6F5"/>
      <color rgb="00BD7708"/>
      <color rgb="00BF8917"/>
      <color rgb="00D79634"/>
      <color rgb="00B0842D"/>
      <color rgb="00E9D7BE"/>
      <color rgb="00F0E2D3"/>
      <color rgb="00F4E9D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eetMetadata" Target="metadata.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lt1"/>
        </a:solidFill>
        <a:ln w="9525" cmpd="sng">
          <a:solidFill>
            <a:schemeClr val="lt1">
              <a:shade val="50000"/>
            </a:schemeClr>
          </a:solidFill>
        </a:ln>
      </a:spPr>
      <a:bodyPr vertOverflow="clip" horzOverflow="clip" wrap="square" rtlCol="0" anchor="t"/>
      <a:lstStyle>
        <a:defPPr algn="l">
          <a:defRPr lang="zh-CN" altLang="en-US" sz="1100"/>
        </a:defPPr>
      </a:lstStyle>
      <a:style>
        <a:lnRef idx="0">
          <a:scrgbClr r="0" g="0" b="0"/>
        </a:lnRef>
        <a:fillRef idx="0">
          <a:scrgbClr r="0" g="0" b="0"/>
        </a:fillRef>
        <a:effectRef idx="0">
          <a:scrgbClr r="0" g="0" b="0"/>
        </a:effectRef>
        <a:fontRef idx="minor">
          <a:schemeClr val="dk1"/>
        </a:fontRef>
      </a:style>
    </a:tx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100"/>
  <sheetViews>
    <sheetView showGridLines="0" showRowColHeaders="0" tabSelected="1" workbookViewId="0">
      <selection activeCell="B1" sqref="B1:CG1"/>
    </sheetView>
  </sheetViews>
  <sheetFormatPr defaultColWidth="2.625" defaultRowHeight="15" customHeight="1"/>
  <cols>
    <col min="1" max="16384" width="2.625" customWidth="1"/>
  </cols>
  <sheetData>
    <row r="1" ht="32" customHeight="1" spans="1:88">
      <c r="B1" s="227" t="s">
        <v>0</v>
      </c>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7"/>
      <c r="AE1" s="227"/>
      <c r="AF1" s="227"/>
      <c r="AG1" s="227"/>
      <c r="AH1" s="227"/>
      <c r="AI1" s="227"/>
      <c r="AJ1" s="227"/>
      <c r="AK1" s="227"/>
      <c r="AL1" s="227"/>
      <c r="AM1" s="227"/>
      <c r="AN1" s="227"/>
      <c r="AO1" s="227"/>
      <c r="AP1" s="227"/>
      <c r="AQ1" s="227"/>
      <c r="AR1" s="227"/>
      <c r="AS1" s="227"/>
      <c r="AT1" s="227"/>
      <c r="AU1" s="227"/>
      <c r="AV1" s="227"/>
      <c r="AW1" s="227"/>
      <c r="AX1" s="227"/>
      <c r="AY1" s="227"/>
      <c r="AZ1" s="227"/>
      <c r="BA1" s="227"/>
      <c r="BB1" s="227"/>
      <c r="BC1" s="227"/>
      <c r="BD1" s="227"/>
      <c r="BE1" s="227"/>
      <c r="BF1" s="227"/>
      <c r="BG1" s="227"/>
      <c r="BH1" s="227"/>
      <c r="BI1" s="227"/>
      <c r="BJ1" s="227"/>
      <c r="BK1" s="227"/>
      <c r="BL1" s="227"/>
      <c r="BM1" s="227"/>
      <c r="BN1" s="227"/>
      <c r="BO1" s="227"/>
      <c r="BP1" s="227"/>
      <c r="BQ1" s="227"/>
      <c r="BR1" s="227"/>
      <c r="BS1" s="227"/>
      <c r="BT1" s="227"/>
      <c r="BU1" s="227"/>
      <c r="BV1" s="227"/>
      <c r="BW1" s="227"/>
      <c r="BX1" s="227"/>
      <c r="BY1" s="227"/>
      <c r="BZ1" s="227"/>
      <c r="CA1" s="227"/>
      <c r="CB1" s="227"/>
      <c r="CC1" s="227"/>
      <c r="CD1" s="227"/>
      <c r="CE1" s="227"/>
      <c r="CF1" s="227"/>
      <c r="CG1" s="227"/>
      <c r="CI1" s="228"/>
      <c r="CJ1" s="228"/>
    </row>
    <row r="2" customHeight="1" spans="1:88">
      <c r="B2" s="229" t="s">
        <v>1</v>
      </c>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c r="BM2" s="229"/>
      <c r="BN2" s="229"/>
      <c r="BO2" s="229"/>
      <c r="BP2" s="229"/>
      <c r="BQ2" s="229"/>
      <c r="BR2" s="229"/>
      <c r="BS2" s="229"/>
      <c r="BT2" s="229"/>
      <c r="BU2" s="229"/>
      <c r="BV2" s="229"/>
      <c r="BW2" s="229"/>
      <c r="BX2" s="229"/>
      <c r="BY2" s="229"/>
      <c r="BZ2" s="229"/>
      <c r="CA2" s="229"/>
      <c r="CB2" s="229"/>
      <c r="CC2" s="229"/>
      <c r="CD2" s="229"/>
      <c r="CE2" s="229"/>
      <c r="CF2" s="229"/>
      <c r="CG2" s="229"/>
      <c r="CI2" s="228"/>
      <c r="CJ2" s="228"/>
    </row>
    <row r="3" customHeight="1" spans="1:88">
      <c r="A3" s="166"/>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O3" s="166"/>
      <c r="BP3" s="166"/>
      <c r="BQ3" s="166"/>
      <c r="BR3" s="166"/>
      <c r="BS3" s="166"/>
      <c r="BT3" s="166"/>
      <c r="BU3" s="166"/>
      <c r="BV3" s="166"/>
      <c r="BW3" s="166"/>
      <c r="BX3" s="166"/>
      <c r="BY3" s="166"/>
      <c r="BZ3" s="166"/>
      <c r="CA3" s="166"/>
      <c r="CB3" s="166"/>
      <c r="CC3" s="166"/>
      <c r="CD3" s="166"/>
      <c r="CE3" s="166"/>
      <c r="CF3" s="166"/>
      <c r="CG3" s="166"/>
      <c r="CI3" s="228"/>
      <c r="CJ3" s="228"/>
    </row>
    <row r="4" customHeight="1" spans="1:88">
      <c r="A4" s="166"/>
      <c r="B4" s="230" t="s">
        <v>2</v>
      </c>
      <c r="C4" s="231"/>
      <c r="D4" s="231"/>
      <c r="E4" s="231"/>
      <c r="F4" s="231"/>
      <c r="G4" s="231"/>
      <c r="H4" s="231"/>
      <c r="I4" s="231"/>
      <c r="J4" s="231"/>
      <c r="K4" s="231"/>
      <c r="L4" s="231"/>
      <c r="M4" s="231"/>
      <c r="N4" s="231"/>
      <c r="O4" s="232"/>
      <c r="P4" s="166"/>
      <c r="Q4" s="233" t="s">
        <v>3</v>
      </c>
      <c r="R4" s="234"/>
      <c r="S4" s="234"/>
      <c r="T4" s="234"/>
      <c r="U4" s="234"/>
      <c r="V4" s="235"/>
      <c r="W4" s="235"/>
      <c r="X4" s="235"/>
      <c r="Y4" s="235"/>
      <c r="Z4" s="235"/>
      <c r="AA4" s="235"/>
      <c r="AB4" s="235"/>
      <c r="AC4" s="235"/>
      <c r="AD4" s="235"/>
      <c r="AE4" s="234"/>
      <c r="AF4" s="234"/>
      <c r="AG4" s="234"/>
      <c r="AH4" s="234"/>
      <c r="AI4" s="234"/>
      <c r="AJ4" s="235"/>
      <c r="AK4" s="234"/>
      <c r="AL4" s="234"/>
      <c r="AM4" s="234"/>
      <c r="AN4" s="234"/>
      <c r="AO4" s="234"/>
      <c r="AP4" s="234"/>
      <c r="AQ4" s="235"/>
      <c r="AR4" s="234"/>
      <c r="AS4" s="234"/>
      <c r="AT4" s="234"/>
      <c r="AU4" s="234"/>
      <c r="AV4" s="234"/>
      <c r="AW4" s="236"/>
      <c r="AX4" s="166"/>
      <c r="AY4" s="237" t="s">
        <v>4</v>
      </c>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9"/>
      <c r="CI4" s="240" t="s">
        <v>5</v>
      </c>
      <c r="CJ4" s="228"/>
    </row>
    <row r="5" customHeight="1" spans="1:88">
      <c r="A5" s="166"/>
      <c r="B5" s="241"/>
      <c r="C5" s="242"/>
      <c r="D5" s="242"/>
      <c r="E5" s="242"/>
      <c r="F5" s="242"/>
      <c r="G5" s="242"/>
      <c r="H5" s="242"/>
      <c r="I5" s="242"/>
      <c r="J5" s="242"/>
      <c r="K5" s="242"/>
      <c r="L5" s="242"/>
      <c r="M5" s="242"/>
      <c r="N5" s="242"/>
      <c r="O5" s="243"/>
      <c r="P5" s="166"/>
      <c r="Q5" s="244" t="s">
        <v>6</v>
      </c>
      <c r="R5" s="245"/>
      <c r="S5" s="245"/>
      <c r="T5" s="245"/>
      <c r="U5" s="245"/>
      <c r="V5" s="246"/>
      <c r="W5" s="247"/>
      <c r="X5" s="247"/>
      <c r="Y5" s="247"/>
      <c r="Z5" s="247"/>
      <c r="AA5" s="247"/>
      <c r="AB5" s="247"/>
      <c r="AC5" s="247"/>
      <c r="AD5" s="247"/>
      <c r="AE5" s="248" t="s">
        <v>7</v>
      </c>
      <c r="AF5" s="249"/>
      <c r="AG5" s="249"/>
      <c r="AH5" s="249"/>
      <c r="AI5" s="249"/>
      <c r="AJ5" s="250" t="str">
        <f>IF(V21&gt;=2,CI4,CI5)</f>
        <v>☐</v>
      </c>
      <c r="AK5" s="251" t="s">
        <v>8</v>
      </c>
      <c r="AL5" s="251"/>
      <c r="AM5" s="251"/>
      <c r="AN5" s="251"/>
      <c r="AO5" s="251"/>
      <c r="AP5" s="251"/>
      <c r="AQ5" s="250" t="str">
        <f>IF(V21&gt;=9,CI4,CI5)</f>
        <v>☐</v>
      </c>
      <c r="AR5" s="251" t="s">
        <v>8</v>
      </c>
      <c r="AS5" s="251"/>
      <c r="AT5" s="251"/>
      <c r="AU5" s="251"/>
      <c r="AV5" s="251"/>
      <c r="AW5" s="252"/>
      <c r="AX5" s="166"/>
      <c r="AY5" s="51" t="s">
        <v>9</v>
      </c>
      <c r="AZ5" s="73"/>
      <c r="BA5" s="73"/>
      <c r="BB5" s="73"/>
      <c r="BC5" s="73" t="s">
        <v>10</v>
      </c>
      <c r="BD5" s="73"/>
      <c r="BE5" s="73"/>
      <c r="BF5" s="73"/>
      <c r="BG5" s="253" t="s">
        <v>11</v>
      </c>
      <c r="BH5" s="254"/>
      <c r="BI5" s="254"/>
      <c r="BJ5" s="254"/>
      <c r="BK5" s="254"/>
      <c r="BL5" s="254"/>
      <c r="BM5" s="254"/>
      <c r="BN5" s="254"/>
      <c r="BO5" s="254"/>
      <c r="BP5" s="254"/>
      <c r="BQ5" s="254"/>
      <c r="BR5" s="254"/>
      <c r="BS5" s="254"/>
      <c r="BT5" s="254"/>
      <c r="BU5" s="254"/>
      <c r="BV5" s="254"/>
      <c r="BW5" s="254"/>
      <c r="BX5" s="254"/>
      <c r="BY5" s="254"/>
      <c r="BZ5" s="254"/>
      <c r="CA5" s="254"/>
      <c r="CB5" s="254"/>
      <c r="CC5" s="254"/>
      <c r="CD5" s="254"/>
      <c r="CE5" s="254"/>
      <c r="CF5" s="254"/>
      <c r="CG5" s="60"/>
      <c r="CI5" s="240" t="s">
        <v>12</v>
      </c>
      <c r="CJ5" s="228"/>
    </row>
    <row r="6" customHeight="1" spans="1:88">
      <c r="A6" s="166"/>
      <c r="B6" s="241"/>
      <c r="C6" s="242"/>
      <c r="D6" s="242"/>
      <c r="E6" s="242"/>
      <c r="F6" s="242"/>
      <c r="G6" s="242"/>
      <c r="H6" s="242"/>
      <c r="I6" s="242"/>
      <c r="J6" s="242"/>
      <c r="K6" s="242"/>
      <c r="L6" s="242"/>
      <c r="M6" s="242"/>
      <c r="N6" s="242"/>
      <c r="O6" s="243"/>
      <c r="P6" s="166"/>
      <c r="Q6" s="244"/>
      <c r="R6" s="245"/>
      <c r="S6" s="245"/>
      <c r="T6" s="245"/>
      <c r="U6" s="245"/>
      <c r="V6" s="255"/>
      <c r="W6" s="256"/>
      <c r="X6" s="256"/>
      <c r="Y6" s="256"/>
      <c r="Z6" s="256"/>
      <c r="AA6" s="256"/>
      <c r="AB6" s="256"/>
      <c r="AC6" s="256"/>
      <c r="AD6" s="256"/>
      <c r="AE6" s="257"/>
      <c r="AF6" s="258"/>
      <c r="AG6" s="258"/>
      <c r="AH6" s="258"/>
      <c r="AI6" s="258"/>
      <c r="AJ6" s="259"/>
      <c r="AK6" s="256"/>
      <c r="AL6" s="256"/>
      <c r="AM6" s="256"/>
      <c r="AN6" s="256"/>
      <c r="AO6" s="256"/>
      <c r="AP6" s="256"/>
      <c r="AQ6" s="259"/>
      <c r="AR6" s="256"/>
      <c r="AS6" s="256"/>
      <c r="AT6" s="256"/>
      <c r="AU6" s="256"/>
      <c r="AV6" s="256"/>
      <c r="AW6" s="260"/>
      <c r="AX6" s="166"/>
      <c r="AY6" s="51" t="s">
        <v>13</v>
      </c>
      <c r="AZ6" s="73"/>
      <c r="BA6" s="73"/>
      <c r="BB6" s="73"/>
      <c r="BC6" s="73" t="s">
        <v>14</v>
      </c>
      <c r="BD6" s="73"/>
      <c r="BE6" s="73"/>
      <c r="BF6" s="73"/>
      <c r="BG6" s="261" t="s">
        <v>15</v>
      </c>
      <c r="BH6" s="261"/>
      <c r="BI6" s="261"/>
      <c r="BJ6" s="261"/>
      <c r="BK6" s="261"/>
      <c r="BL6" s="261"/>
      <c r="BM6" s="261"/>
      <c r="BN6" s="261"/>
      <c r="BO6" s="261"/>
      <c r="BP6" s="261"/>
      <c r="BQ6" s="261"/>
      <c r="BR6" s="261"/>
      <c r="BS6" s="261"/>
      <c r="BT6" s="261"/>
      <c r="BU6" s="261"/>
      <c r="BV6" s="261"/>
      <c r="BW6" s="261"/>
      <c r="BX6" s="261"/>
      <c r="BY6" s="261"/>
      <c r="BZ6" s="261"/>
      <c r="CA6" s="261"/>
      <c r="CB6" s="261"/>
      <c r="CC6" s="261"/>
      <c r="CD6" s="261"/>
      <c r="CE6" s="261"/>
      <c r="CF6" s="261"/>
      <c r="CG6" s="262"/>
      <c r="CI6" s="240" t="s">
        <v>16</v>
      </c>
      <c r="CJ6" s="228"/>
    </row>
    <row r="7" customHeight="1" spans="1:88">
      <c r="A7" s="166"/>
      <c r="B7" s="241"/>
      <c r="C7" s="242"/>
      <c r="D7" s="242"/>
      <c r="E7" s="242"/>
      <c r="F7" s="242"/>
      <c r="G7" s="242"/>
      <c r="H7" s="242"/>
      <c r="I7" s="242"/>
      <c r="J7" s="242"/>
      <c r="K7" s="242"/>
      <c r="L7" s="242"/>
      <c r="M7" s="242"/>
      <c r="N7" s="242"/>
      <c r="O7" s="243"/>
      <c r="P7" s="166"/>
      <c r="Q7" s="244" t="s">
        <v>17</v>
      </c>
      <c r="R7" s="245"/>
      <c r="S7" s="245"/>
      <c r="T7" s="245"/>
      <c r="U7" s="245"/>
      <c r="V7" s="263"/>
      <c r="W7" s="263"/>
      <c r="X7" s="263"/>
      <c r="Y7" s="263"/>
      <c r="Z7" s="263"/>
      <c r="AA7" s="263"/>
      <c r="AB7" s="263"/>
      <c r="AC7" s="263"/>
      <c r="AD7" s="263"/>
      <c r="AE7" s="245"/>
      <c r="AF7" s="245"/>
      <c r="AG7" s="245"/>
      <c r="AH7" s="245"/>
      <c r="AI7" s="245"/>
      <c r="AJ7" s="245"/>
      <c r="AK7" s="245"/>
      <c r="AL7" s="245"/>
      <c r="AM7" s="245"/>
      <c r="AN7" s="245"/>
      <c r="AO7" s="245"/>
      <c r="AP7" s="245"/>
      <c r="AQ7" s="245"/>
      <c r="AR7" s="245"/>
      <c r="AS7" s="245"/>
      <c r="AT7" s="245"/>
      <c r="AU7" s="245"/>
      <c r="AV7" s="245"/>
      <c r="AW7" s="264"/>
      <c r="AX7" s="166"/>
      <c r="AY7" s="51"/>
      <c r="AZ7" s="73"/>
      <c r="BA7" s="73"/>
      <c r="BB7" s="73"/>
      <c r="BC7" s="73"/>
      <c r="BD7" s="73"/>
      <c r="BE7" s="73"/>
      <c r="BF7" s="73"/>
      <c r="BG7" s="261"/>
      <c r="BH7" s="261"/>
      <c r="BI7" s="261"/>
      <c r="BJ7" s="261"/>
      <c r="BK7" s="261"/>
      <c r="BL7" s="261"/>
      <c r="BM7" s="261"/>
      <c r="BN7" s="261"/>
      <c r="BO7" s="261"/>
      <c r="BP7" s="261"/>
      <c r="BQ7" s="261"/>
      <c r="BR7" s="261"/>
      <c r="BS7" s="261"/>
      <c r="BT7" s="261"/>
      <c r="BU7" s="261"/>
      <c r="BV7" s="261"/>
      <c r="BW7" s="261"/>
      <c r="BX7" s="261"/>
      <c r="BY7" s="261"/>
      <c r="BZ7" s="261"/>
      <c r="CA7" s="261"/>
      <c r="CB7" s="261"/>
      <c r="CC7" s="261"/>
      <c r="CD7" s="261"/>
      <c r="CE7" s="261"/>
      <c r="CF7" s="261"/>
      <c r="CG7" s="262"/>
      <c r="CI7" s="265" t="str">
        <f>IF(ISBLANK(V17),"",INT(5+V17/2))</f>
        <v/>
      </c>
      <c r="CJ7" s="228"/>
    </row>
    <row r="8" customHeight="1" spans="1:88">
      <c r="A8" s="166"/>
      <c r="B8" s="241"/>
      <c r="C8" s="242"/>
      <c r="D8" s="242"/>
      <c r="E8" s="242"/>
      <c r="F8" s="242"/>
      <c r="G8" s="242"/>
      <c r="H8" s="242"/>
      <c r="I8" s="242"/>
      <c r="J8" s="242"/>
      <c r="K8" s="242"/>
      <c r="L8" s="242"/>
      <c r="M8" s="242"/>
      <c r="N8" s="242"/>
      <c r="O8" s="243"/>
      <c r="P8" s="166"/>
      <c r="Q8" s="266"/>
      <c r="R8" s="267"/>
      <c r="S8" s="267"/>
      <c r="T8" s="267"/>
      <c r="U8" s="267"/>
      <c r="V8" s="267"/>
      <c r="W8" s="267"/>
      <c r="X8" s="267"/>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8"/>
      <c r="AX8" s="166"/>
      <c r="AY8" s="269" t="s">
        <v>16</v>
      </c>
      <c r="AZ8" s="270"/>
      <c r="BA8" s="270"/>
      <c r="BB8" s="270"/>
      <c r="BC8" s="73" t="s">
        <v>18</v>
      </c>
      <c r="BD8" s="73"/>
      <c r="BE8" s="73"/>
      <c r="BF8" s="73"/>
      <c r="BG8" s="271"/>
      <c r="BH8" s="271"/>
      <c r="BI8" s="271"/>
      <c r="BJ8" s="271"/>
      <c r="BK8" s="271"/>
      <c r="BL8" s="271"/>
      <c r="BM8" s="271"/>
      <c r="BN8" s="271"/>
      <c r="BO8" s="271"/>
      <c r="BP8" s="271"/>
      <c r="BQ8" s="271"/>
      <c r="BR8" s="271"/>
      <c r="BS8" s="271"/>
      <c r="BT8" s="271"/>
      <c r="BU8" s="271"/>
      <c r="BV8" s="271"/>
      <c r="BW8" s="271"/>
      <c r="BX8" s="271"/>
      <c r="BY8" s="271"/>
      <c r="BZ8" s="271"/>
      <c r="CA8" s="271"/>
      <c r="CB8" s="271"/>
      <c r="CC8" s="271"/>
      <c r="CD8" s="271"/>
      <c r="CE8" s="271"/>
      <c r="CF8" s="271"/>
      <c r="CG8" s="272"/>
      <c r="CI8" s="265" t="str">
        <f>IF(AND(V19&lt;&gt;"",V21&lt;&gt;""),5+2*V19+V21,"")</f>
        <v/>
      </c>
      <c r="CJ8" s="228"/>
    </row>
    <row r="9" customHeight="1" spans="1:88">
      <c r="A9" s="166"/>
      <c r="B9" s="241"/>
      <c r="C9" s="242"/>
      <c r="D9" s="242"/>
      <c r="E9" s="242"/>
      <c r="F9" s="242"/>
      <c r="G9" s="242"/>
      <c r="H9" s="242"/>
      <c r="I9" s="242"/>
      <c r="J9" s="242"/>
      <c r="K9" s="242"/>
      <c r="L9" s="242"/>
      <c r="M9" s="242"/>
      <c r="N9" s="242"/>
      <c r="O9" s="243"/>
      <c r="P9" s="166"/>
      <c r="Q9" s="273"/>
      <c r="R9" s="274"/>
      <c r="S9" s="274"/>
      <c r="T9" s="274"/>
      <c r="U9" s="274"/>
      <c r="V9" s="274"/>
      <c r="W9" s="274"/>
      <c r="X9" s="274"/>
      <c r="Y9" s="274"/>
      <c r="Z9" s="274"/>
      <c r="AA9" s="274"/>
      <c r="AB9" s="274"/>
      <c r="AC9" s="274"/>
      <c r="AD9" s="274"/>
      <c r="AE9" s="274"/>
      <c r="AF9" s="274"/>
      <c r="AG9" s="274"/>
      <c r="AH9" s="274"/>
      <c r="AI9" s="274"/>
      <c r="AJ9" s="274"/>
      <c r="AK9" s="274"/>
      <c r="AL9" s="274"/>
      <c r="AM9" s="274"/>
      <c r="AN9" s="274"/>
      <c r="AO9" s="274"/>
      <c r="AP9" s="274"/>
      <c r="AQ9" s="274"/>
      <c r="AR9" s="274"/>
      <c r="AS9" s="274"/>
      <c r="AT9" s="274"/>
      <c r="AU9" s="274"/>
      <c r="AV9" s="274"/>
      <c r="AW9" s="275"/>
      <c r="AX9" s="166"/>
      <c r="AY9" s="269"/>
      <c r="AZ9" s="270"/>
      <c r="BA9" s="270"/>
      <c r="BB9" s="270"/>
      <c r="BC9" s="73"/>
      <c r="BD9" s="73"/>
      <c r="BE9" s="73"/>
      <c r="BF9" s="73"/>
      <c r="BG9" s="271"/>
      <c r="BH9" s="271"/>
      <c r="BI9" s="271"/>
      <c r="BJ9" s="271"/>
      <c r="BK9" s="271"/>
      <c r="BL9" s="271"/>
      <c r="BM9" s="271"/>
      <c r="BN9" s="271"/>
      <c r="BO9" s="271"/>
      <c r="BP9" s="271"/>
      <c r="BQ9" s="271"/>
      <c r="BR9" s="271"/>
      <c r="BS9" s="271"/>
      <c r="BT9" s="271"/>
      <c r="BU9" s="271"/>
      <c r="BV9" s="271"/>
      <c r="BW9" s="271"/>
      <c r="BX9" s="271"/>
      <c r="BY9" s="271"/>
      <c r="BZ9" s="271"/>
      <c r="CA9" s="271"/>
      <c r="CB9" s="271"/>
      <c r="CC9" s="271"/>
      <c r="CD9" s="271"/>
      <c r="CE9" s="271"/>
      <c r="CF9" s="271"/>
      <c r="CG9" s="272"/>
      <c r="CI9" s="240"/>
      <c r="CJ9" s="228"/>
    </row>
    <row r="10" customHeight="1" spans="1:88">
      <c r="A10" s="166"/>
      <c r="B10" s="241"/>
      <c r="C10" s="242"/>
      <c r="D10" s="242"/>
      <c r="E10" s="242"/>
      <c r="F10" s="242"/>
      <c r="G10" s="242"/>
      <c r="H10" s="242"/>
      <c r="I10" s="242"/>
      <c r="J10" s="242"/>
      <c r="K10" s="242"/>
      <c r="L10" s="242"/>
      <c r="M10" s="242"/>
      <c r="N10" s="242"/>
      <c r="O10" s="243"/>
      <c r="P10" s="166"/>
      <c r="Q10" s="273"/>
      <c r="R10" s="274"/>
      <c r="S10" s="274"/>
      <c r="T10" s="274"/>
      <c r="U10" s="274"/>
      <c r="V10" s="274"/>
      <c r="W10" s="274"/>
      <c r="X10" s="274"/>
      <c r="Y10" s="274"/>
      <c r="Z10" s="274"/>
      <c r="AA10" s="274"/>
      <c r="AB10" s="274"/>
      <c r="AC10" s="274"/>
      <c r="AD10" s="274"/>
      <c r="AE10" s="274"/>
      <c r="AF10" s="274"/>
      <c r="AG10" s="274"/>
      <c r="AH10" s="274"/>
      <c r="AI10" s="274"/>
      <c r="AJ10" s="274"/>
      <c r="AK10" s="274"/>
      <c r="AL10" s="274"/>
      <c r="AM10" s="274"/>
      <c r="AN10" s="274"/>
      <c r="AO10" s="274"/>
      <c r="AP10" s="274"/>
      <c r="AQ10" s="274"/>
      <c r="AR10" s="274"/>
      <c r="AS10" s="274"/>
      <c r="AT10" s="274"/>
      <c r="AU10" s="274"/>
      <c r="AV10" s="274"/>
      <c r="AW10" s="275"/>
      <c r="AX10" s="166"/>
      <c r="AY10" s="269"/>
      <c r="AZ10" s="270"/>
      <c r="BA10" s="270"/>
      <c r="BB10" s="270"/>
      <c r="BC10" s="73" t="s">
        <v>19</v>
      </c>
      <c r="BD10" s="73"/>
      <c r="BE10" s="73"/>
      <c r="BF10" s="73"/>
      <c r="BG10" s="271"/>
      <c r="BH10" s="271"/>
      <c r="BI10" s="271"/>
      <c r="BJ10" s="271"/>
      <c r="BK10" s="271"/>
      <c r="BL10" s="271"/>
      <c r="BM10" s="271"/>
      <c r="BN10" s="271"/>
      <c r="BO10" s="271"/>
      <c r="BP10" s="271"/>
      <c r="BQ10" s="271"/>
      <c r="BR10" s="271"/>
      <c r="BS10" s="271"/>
      <c r="BT10" s="271"/>
      <c r="BU10" s="271"/>
      <c r="BV10" s="271"/>
      <c r="BW10" s="271"/>
      <c r="BX10" s="271"/>
      <c r="BY10" s="271"/>
      <c r="BZ10" s="271"/>
      <c r="CA10" s="271"/>
      <c r="CB10" s="271"/>
      <c r="CC10" s="271"/>
      <c r="CD10" s="271"/>
      <c r="CE10" s="271"/>
      <c r="CF10" s="271"/>
      <c r="CG10" s="272"/>
      <c r="CI10" s="240"/>
      <c r="CJ10" s="228"/>
    </row>
    <row r="11" customHeight="1" spans="1:88">
      <c r="A11" s="166"/>
      <c r="B11" s="241"/>
      <c r="C11" s="242"/>
      <c r="D11" s="242"/>
      <c r="E11" s="242"/>
      <c r="F11" s="242"/>
      <c r="G11" s="242"/>
      <c r="H11" s="242"/>
      <c r="I11" s="242"/>
      <c r="J11" s="242"/>
      <c r="K11" s="242"/>
      <c r="L11" s="242"/>
      <c r="M11" s="242"/>
      <c r="N11" s="242"/>
      <c r="O11" s="243"/>
      <c r="P11" s="166"/>
      <c r="Q11" s="273"/>
      <c r="R11" s="274"/>
      <c r="S11" s="274"/>
      <c r="T11" s="274"/>
      <c r="U11" s="274"/>
      <c r="V11" s="274"/>
      <c r="W11" s="274"/>
      <c r="X11" s="274"/>
      <c r="Y11" s="274"/>
      <c r="Z11" s="274"/>
      <c r="AA11" s="274"/>
      <c r="AB11" s="274"/>
      <c r="AC11" s="274"/>
      <c r="AD11" s="274"/>
      <c r="AE11" s="274"/>
      <c r="AF11" s="274"/>
      <c r="AG11" s="274"/>
      <c r="AH11" s="274"/>
      <c r="AI11" s="274"/>
      <c r="AJ11" s="274"/>
      <c r="AK11" s="274"/>
      <c r="AL11" s="274"/>
      <c r="AM11" s="274"/>
      <c r="AN11" s="274"/>
      <c r="AO11" s="274"/>
      <c r="AP11" s="274"/>
      <c r="AQ11" s="274"/>
      <c r="AR11" s="274"/>
      <c r="AS11" s="274"/>
      <c r="AT11" s="274"/>
      <c r="AU11" s="274"/>
      <c r="AV11" s="274"/>
      <c r="AW11" s="275"/>
      <c r="AX11" s="166"/>
      <c r="AY11" s="269"/>
      <c r="AZ11" s="270"/>
      <c r="BA11" s="270"/>
      <c r="BB11" s="270"/>
      <c r="BC11" s="73"/>
      <c r="BD11" s="73"/>
      <c r="BE11" s="73"/>
      <c r="BF11" s="73"/>
      <c r="BG11" s="271"/>
      <c r="BH11" s="271"/>
      <c r="BI11" s="271"/>
      <c r="BJ11" s="271"/>
      <c r="BK11" s="271"/>
      <c r="BL11" s="271"/>
      <c r="BM11" s="271"/>
      <c r="BN11" s="271"/>
      <c r="BO11" s="271"/>
      <c r="BP11" s="271"/>
      <c r="BQ11" s="271"/>
      <c r="BR11" s="271"/>
      <c r="BS11" s="271"/>
      <c r="BT11" s="271"/>
      <c r="BU11" s="271"/>
      <c r="BV11" s="271"/>
      <c r="BW11" s="271"/>
      <c r="BX11" s="271"/>
      <c r="BY11" s="271"/>
      <c r="BZ11" s="271"/>
      <c r="CA11" s="271"/>
      <c r="CB11" s="271"/>
      <c r="CC11" s="271"/>
      <c r="CD11" s="271"/>
      <c r="CE11" s="271"/>
      <c r="CF11" s="271"/>
      <c r="CG11" s="272"/>
      <c r="CI11" s="228"/>
      <c r="CJ11" s="228"/>
    </row>
    <row r="12" customHeight="1" spans="1:88">
      <c r="A12" s="166"/>
      <c r="B12" s="241"/>
      <c r="C12" s="242"/>
      <c r="D12" s="242"/>
      <c r="E12" s="242"/>
      <c r="F12" s="242"/>
      <c r="G12" s="242"/>
      <c r="H12" s="242"/>
      <c r="I12" s="242"/>
      <c r="J12" s="242"/>
      <c r="K12" s="242"/>
      <c r="L12" s="242"/>
      <c r="M12" s="242"/>
      <c r="N12" s="242"/>
      <c r="O12" s="243"/>
      <c r="P12" s="166"/>
      <c r="Q12" s="273"/>
      <c r="R12" s="274"/>
      <c r="S12" s="274"/>
      <c r="T12" s="274"/>
      <c r="U12" s="274"/>
      <c r="V12" s="274"/>
      <c r="W12" s="274"/>
      <c r="X12" s="274"/>
      <c r="Y12" s="274"/>
      <c r="Z12" s="274"/>
      <c r="AA12" s="274"/>
      <c r="AB12" s="274"/>
      <c r="AC12" s="274"/>
      <c r="AD12" s="274"/>
      <c r="AE12" s="274"/>
      <c r="AF12" s="274"/>
      <c r="AG12" s="274"/>
      <c r="AH12" s="274"/>
      <c r="AI12" s="274"/>
      <c r="AJ12" s="274"/>
      <c r="AK12" s="274"/>
      <c r="AL12" s="274"/>
      <c r="AM12" s="274"/>
      <c r="AN12" s="274"/>
      <c r="AO12" s="274"/>
      <c r="AP12" s="274"/>
      <c r="AQ12" s="274"/>
      <c r="AR12" s="274"/>
      <c r="AS12" s="274"/>
      <c r="AT12" s="274"/>
      <c r="AU12" s="274"/>
      <c r="AV12" s="274"/>
      <c r="AW12" s="275"/>
      <c r="AX12" s="166"/>
      <c r="AY12" s="269"/>
      <c r="AZ12" s="270"/>
      <c r="BA12" s="270"/>
      <c r="BB12" s="270"/>
      <c r="BC12" s="73" t="s">
        <v>20</v>
      </c>
      <c r="BD12" s="73"/>
      <c r="BE12" s="73"/>
      <c r="BF12" s="73"/>
      <c r="BG12" s="271"/>
      <c r="BH12" s="271"/>
      <c r="BI12" s="271"/>
      <c r="BJ12" s="271"/>
      <c r="BK12" s="271"/>
      <c r="BL12" s="271"/>
      <c r="BM12" s="271"/>
      <c r="BN12" s="271"/>
      <c r="BO12" s="271"/>
      <c r="BP12" s="271"/>
      <c r="BQ12" s="271"/>
      <c r="BR12" s="271"/>
      <c r="BS12" s="271"/>
      <c r="BT12" s="271"/>
      <c r="BU12" s="271"/>
      <c r="BV12" s="271"/>
      <c r="BW12" s="271"/>
      <c r="BX12" s="271"/>
      <c r="BY12" s="271"/>
      <c r="BZ12" s="271"/>
      <c r="CA12" s="271"/>
      <c r="CB12" s="271"/>
      <c r="CC12" s="271"/>
      <c r="CD12" s="271"/>
      <c r="CE12" s="271"/>
      <c r="CF12" s="271"/>
      <c r="CG12" s="272"/>
      <c r="CI12" s="228"/>
      <c r="CJ12" s="228"/>
    </row>
    <row r="13" customHeight="1" spans="1:88">
      <c r="A13" s="166"/>
      <c r="B13" s="241"/>
      <c r="C13" s="242"/>
      <c r="D13" s="242"/>
      <c r="E13" s="242"/>
      <c r="F13" s="242"/>
      <c r="G13" s="242"/>
      <c r="H13" s="242"/>
      <c r="I13" s="242"/>
      <c r="J13" s="242"/>
      <c r="K13" s="242"/>
      <c r="L13" s="242"/>
      <c r="M13" s="242"/>
      <c r="N13" s="242"/>
      <c r="O13" s="243"/>
      <c r="P13" s="166"/>
      <c r="Q13" s="273"/>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166"/>
      <c r="AY13" s="269"/>
      <c r="AZ13" s="270"/>
      <c r="BA13" s="270"/>
      <c r="BB13" s="270"/>
      <c r="BC13" s="73"/>
      <c r="BD13" s="73"/>
      <c r="BE13" s="73"/>
      <c r="BF13" s="73"/>
      <c r="BG13" s="271"/>
      <c r="BH13" s="271"/>
      <c r="BI13" s="271"/>
      <c r="BJ13" s="271"/>
      <c r="BK13" s="271"/>
      <c r="BL13" s="271"/>
      <c r="BM13" s="271"/>
      <c r="BN13" s="271"/>
      <c r="BO13" s="271"/>
      <c r="BP13" s="271"/>
      <c r="BQ13" s="271"/>
      <c r="BR13" s="271"/>
      <c r="BS13" s="271"/>
      <c r="BT13" s="271"/>
      <c r="BU13" s="271"/>
      <c r="BV13" s="271"/>
      <c r="BW13" s="271"/>
      <c r="BX13" s="271"/>
      <c r="BY13" s="271"/>
      <c r="BZ13" s="271"/>
      <c r="CA13" s="271"/>
      <c r="CB13" s="271"/>
      <c r="CC13" s="271"/>
      <c r="CD13" s="271"/>
      <c r="CE13" s="271"/>
      <c r="CF13" s="271"/>
      <c r="CG13" s="272"/>
      <c r="CI13" s="228"/>
      <c r="CJ13" s="228"/>
    </row>
    <row r="14" customHeight="1" spans="1:88">
      <c r="A14" s="166"/>
      <c r="B14" s="276"/>
      <c r="C14" s="277"/>
      <c r="D14" s="277"/>
      <c r="E14" s="277"/>
      <c r="F14" s="277"/>
      <c r="G14" s="277"/>
      <c r="H14" s="277"/>
      <c r="I14" s="277"/>
      <c r="J14" s="277"/>
      <c r="K14" s="277"/>
      <c r="L14" s="277"/>
      <c r="M14" s="277"/>
      <c r="N14" s="277"/>
      <c r="O14" s="278"/>
      <c r="P14" s="166"/>
      <c r="Q14" s="279" t="str">
        <f>IF(V21&gt;=7,"全文不得多于100字，可拥有至多四个灵能力标签。","全文不得多于80字，可拥有至多三个灵能力标签。")</f>
        <v>全文不得多于80字，可拥有至多三个灵能力标签。</v>
      </c>
      <c r="R14" s="280"/>
      <c r="S14" s="280"/>
      <c r="T14" s="280"/>
      <c r="U14" s="280"/>
      <c r="V14" s="280"/>
      <c r="W14" s="280"/>
      <c r="X14" s="280"/>
      <c r="Y14" s="280"/>
      <c r="Z14" s="280"/>
      <c r="AA14" s="280"/>
      <c r="AB14" s="280"/>
      <c r="AC14" s="280"/>
      <c r="AD14" s="280"/>
      <c r="AE14" s="280"/>
      <c r="AF14" s="280"/>
      <c r="AG14" s="280"/>
      <c r="AH14" s="280"/>
      <c r="AI14" s="280"/>
      <c r="AJ14" s="280"/>
      <c r="AK14" s="280"/>
      <c r="AL14" s="280"/>
      <c r="AM14" s="280"/>
      <c r="AN14" s="280"/>
      <c r="AO14" s="280"/>
      <c r="AP14" s="280"/>
      <c r="AQ14" s="280"/>
      <c r="AR14" s="280"/>
      <c r="AS14" s="280"/>
      <c r="AT14" s="280"/>
      <c r="AU14" s="280"/>
      <c r="AV14" s="280"/>
      <c r="AW14" s="281"/>
      <c r="AX14" s="166"/>
      <c r="AY14" s="269"/>
      <c r="AZ14" s="270"/>
      <c r="BA14" s="270"/>
      <c r="BB14" s="270"/>
      <c r="BC14" s="73" t="s">
        <v>21</v>
      </c>
      <c r="BD14" s="73"/>
      <c r="BE14" s="73"/>
      <c r="BF14" s="73"/>
      <c r="BG14" s="271"/>
      <c r="BH14" s="271"/>
      <c r="BI14" s="271"/>
      <c r="BJ14" s="271"/>
      <c r="BK14" s="271"/>
      <c r="BL14" s="271"/>
      <c r="BM14" s="271"/>
      <c r="BN14" s="271"/>
      <c r="BO14" s="271"/>
      <c r="BP14" s="271"/>
      <c r="BQ14" s="271"/>
      <c r="BR14" s="271"/>
      <c r="BS14" s="271"/>
      <c r="BT14" s="271"/>
      <c r="BU14" s="271"/>
      <c r="BV14" s="271"/>
      <c r="BW14" s="271"/>
      <c r="BX14" s="271"/>
      <c r="BY14" s="271"/>
      <c r="BZ14" s="271"/>
      <c r="CA14" s="271"/>
      <c r="CB14" s="271"/>
      <c r="CC14" s="271"/>
      <c r="CD14" s="271"/>
      <c r="CE14" s="271"/>
      <c r="CF14" s="271"/>
      <c r="CG14" s="272"/>
      <c r="CI14" s="228"/>
      <c r="CJ14" s="228"/>
    </row>
    <row r="15" customHeight="1" spans="1:88">
      <c r="A15" s="166"/>
      <c r="B15" s="166"/>
      <c r="C15" s="166"/>
      <c r="D15" s="166"/>
      <c r="E15" s="166"/>
      <c r="F15" s="166"/>
      <c r="G15" s="166"/>
      <c r="H15" s="166"/>
      <c r="I15" s="166"/>
      <c r="J15" s="166"/>
      <c r="K15" s="166"/>
      <c r="L15" s="166"/>
      <c r="M15" s="166"/>
      <c r="N15" s="166"/>
      <c r="O15" s="166"/>
      <c r="P15" s="166"/>
      <c r="Q15" s="282"/>
      <c r="R15" s="282"/>
      <c r="S15" s="282"/>
      <c r="T15" s="282"/>
      <c r="U15" s="282"/>
      <c r="V15" s="282"/>
      <c r="W15" s="282"/>
      <c r="X15" s="282"/>
      <c r="Y15" s="282"/>
      <c r="Z15" s="282"/>
      <c r="AA15" s="282"/>
      <c r="AB15" s="282"/>
      <c r="AC15" s="282"/>
      <c r="AD15" s="282"/>
      <c r="AE15" s="282"/>
      <c r="AF15" s="282"/>
      <c r="AG15" s="282"/>
      <c r="AH15" s="282"/>
      <c r="AI15" s="282"/>
      <c r="AJ15" s="282"/>
      <c r="AK15" s="282"/>
      <c r="AL15" s="282"/>
      <c r="AM15" s="282"/>
      <c r="AN15" s="282"/>
      <c r="AO15" s="282"/>
      <c r="AP15" s="282"/>
      <c r="AQ15" s="282"/>
      <c r="AR15" s="282"/>
      <c r="AS15" s="282"/>
      <c r="AT15" s="282"/>
      <c r="AU15" s="282"/>
      <c r="AV15" s="282"/>
      <c r="AW15" s="282"/>
      <c r="AX15" s="166"/>
      <c r="AY15" s="269"/>
      <c r="AZ15" s="270"/>
      <c r="BA15" s="270"/>
      <c r="BB15" s="270"/>
      <c r="BC15" s="73"/>
      <c r="BD15" s="73"/>
      <c r="BE15" s="73"/>
      <c r="BF15" s="73"/>
      <c r="BG15" s="271"/>
      <c r="BH15" s="271"/>
      <c r="BI15" s="271"/>
      <c r="BJ15" s="271"/>
      <c r="BK15" s="271"/>
      <c r="BL15" s="271"/>
      <c r="BM15" s="271"/>
      <c r="BN15" s="271"/>
      <c r="BO15" s="271"/>
      <c r="BP15" s="271"/>
      <c r="BQ15" s="271"/>
      <c r="BR15" s="271"/>
      <c r="BS15" s="271"/>
      <c r="BT15" s="271"/>
      <c r="BU15" s="271"/>
      <c r="BV15" s="271"/>
      <c r="BW15" s="271"/>
      <c r="BX15" s="271"/>
      <c r="BY15" s="271"/>
      <c r="BZ15" s="271"/>
      <c r="CA15" s="271"/>
      <c r="CB15" s="271"/>
      <c r="CC15" s="271"/>
      <c r="CD15" s="271"/>
      <c r="CE15" s="271"/>
      <c r="CF15" s="271"/>
      <c r="CG15" s="272"/>
      <c r="CI15" s="228"/>
      <c r="CJ15" s="228"/>
    </row>
    <row r="16" customHeight="1" spans="1:88">
      <c r="A16" s="166"/>
      <c r="B16" s="233" t="s">
        <v>22</v>
      </c>
      <c r="C16" s="283"/>
      <c r="D16" s="284"/>
      <c r="E16" s="284"/>
      <c r="F16" s="284"/>
      <c r="G16" s="284"/>
      <c r="H16" s="284"/>
      <c r="I16" s="284"/>
      <c r="J16" s="284"/>
      <c r="K16" s="284"/>
      <c r="L16" s="284"/>
      <c r="M16" s="284"/>
      <c r="N16" s="284"/>
      <c r="O16" s="285"/>
      <c r="P16" s="166"/>
      <c r="Q16" s="233" t="s">
        <v>23</v>
      </c>
      <c r="R16" s="234"/>
      <c r="S16" s="234"/>
      <c r="T16" s="234"/>
      <c r="U16" s="234"/>
      <c r="V16" s="234"/>
      <c r="W16" s="234"/>
      <c r="X16" s="234"/>
      <c r="Y16" s="234"/>
      <c r="Z16" s="234"/>
      <c r="AA16" s="234"/>
      <c r="AB16" s="234"/>
      <c r="AC16" s="234"/>
      <c r="AD16" s="234"/>
      <c r="AE16" s="234"/>
      <c r="AF16" s="236"/>
      <c r="AG16" s="166"/>
      <c r="AH16" s="233" t="s">
        <v>24</v>
      </c>
      <c r="AI16" s="234"/>
      <c r="AJ16" s="234"/>
      <c r="AK16" s="234"/>
      <c r="AL16" s="234"/>
      <c r="AM16" s="234"/>
      <c r="AN16" s="234"/>
      <c r="AO16" s="234"/>
      <c r="AP16" s="234"/>
      <c r="AQ16" s="234"/>
      <c r="AR16" s="234"/>
      <c r="AS16" s="234"/>
      <c r="AT16" s="234"/>
      <c r="AU16" s="234"/>
      <c r="AV16" s="234"/>
      <c r="AW16" s="236"/>
      <c r="AX16" s="166"/>
      <c r="AY16" s="269"/>
      <c r="AZ16" s="270"/>
      <c r="BA16" s="270"/>
      <c r="BB16" s="270"/>
      <c r="BC16" s="73" t="s">
        <v>25</v>
      </c>
      <c r="BD16" s="73"/>
      <c r="BE16" s="73"/>
      <c r="BF16" s="73"/>
      <c r="BG16" s="271"/>
      <c r="BH16" s="271"/>
      <c r="BI16" s="271"/>
      <c r="BJ16" s="271"/>
      <c r="BK16" s="271"/>
      <c r="BL16" s="271"/>
      <c r="BM16" s="271"/>
      <c r="BN16" s="271"/>
      <c r="BO16" s="271"/>
      <c r="BP16" s="271"/>
      <c r="BQ16" s="271"/>
      <c r="BR16" s="271"/>
      <c r="BS16" s="271"/>
      <c r="BT16" s="271"/>
      <c r="BU16" s="271"/>
      <c r="BV16" s="271"/>
      <c r="BW16" s="271"/>
      <c r="BX16" s="271"/>
      <c r="BY16" s="271"/>
      <c r="BZ16" s="271"/>
      <c r="CA16" s="271"/>
      <c r="CB16" s="271"/>
      <c r="CC16" s="271"/>
      <c r="CD16" s="271"/>
      <c r="CE16" s="271"/>
      <c r="CF16" s="271"/>
      <c r="CG16" s="272"/>
    </row>
    <row r="17" customHeight="1" spans="1:87">
      <c r="A17" s="166"/>
      <c r="B17" s="244" t="s">
        <v>26</v>
      </c>
      <c r="C17" s="286"/>
      <c r="D17" s="245"/>
      <c r="E17" s="287"/>
      <c r="F17" s="287"/>
      <c r="G17" s="287"/>
      <c r="H17" s="287"/>
      <c r="I17" s="288"/>
      <c r="J17" s="245" t="s">
        <v>27</v>
      </c>
      <c r="K17" s="245"/>
      <c r="L17" s="287"/>
      <c r="M17" s="287"/>
      <c r="N17" s="287"/>
      <c r="O17" s="289"/>
      <c r="P17" s="166"/>
      <c r="Q17" s="244" t="s">
        <v>28</v>
      </c>
      <c r="R17" s="245"/>
      <c r="S17" s="245"/>
      <c r="T17" s="245" t="str">
        <f>IF(V17=1,"E",IF(V17=2,"D",IF(V17=3,"C",IF(V17=4,"B",IF(V17=5,"A",IF(V17=6,"S",IF(V17=7,"SS",IF(V17=8,"SSS",IF(V17=9,"SSS+",IF(V17="","",IF(V17&gt;9,"?","?")))))))))))</f>
        <v/>
      </c>
      <c r="U17" s="245"/>
      <c r="V17" s="287"/>
      <c r="W17" s="287"/>
      <c r="X17" s="245" t="s">
        <v>29</v>
      </c>
      <c r="Y17" s="245"/>
      <c r="Z17" s="245"/>
      <c r="AA17" s="245"/>
      <c r="AB17" s="245"/>
      <c r="AC17" s="290" t="str">
        <f>IF(ISBLANK(V17),"",INT(V17/2))</f>
        <v/>
      </c>
      <c r="AD17" s="290"/>
      <c r="AE17" s="290"/>
      <c r="AF17" s="291"/>
      <c r="AG17" s="166"/>
      <c r="AH17" s="244" t="s">
        <v>30</v>
      </c>
      <c r="AI17" s="245"/>
      <c r="AJ17" s="245"/>
      <c r="AK17" s="245"/>
      <c r="AL17" s="245" t="s">
        <v>31</v>
      </c>
      <c r="AM17" s="245"/>
      <c r="AN17" s="245"/>
      <c r="AO17" s="245"/>
      <c r="AP17" s="245" t="s">
        <v>32</v>
      </c>
      <c r="AQ17" s="245"/>
      <c r="AR17" s="245"/>
      <c r="AS17" s="245"/>
      <c r="AT17" s="245" t="s">
        <v>33</v>
      </c>
      <c r="AU17" s="245"/>
      <c r="AV17" s="245"/>
      <c r="AW17" s="264"/>
      <c r="AX17" s="166"/>
      <c r="AY17" s="292"/>
      <c r="AZ17" s="293"/>
      <c r="BA17" s="293"/>
      <c r="BB17" s="293"/>
      <c r="BC17" s="99"/>
      <c r="BD17" s="99"/>
      <c r="BE17" s="99"/>
      <c r="BF17" s="99"/>
      <c r="BG17" s="294"/>
      <c r="BH17" s="294"/>
      <c r="BI17" s="294"/>
      <c r="BJ17" s="294"/>
      <c r="BK17" s="294"/>
      <c r="BL17" s="294"/>
      <c r="BM17" s="294"/>
      <c r="BN17" s="294"/>
      <c r="BO17" s="294"/>
      <c r="BP17" s="294"/>
      <c r="BQ17" s="294"/>
      <c r="BR17" s="294"/>
      <c r="BS17" s="294"/>
      <c r="BT17" s="294"/>
      <c r="BU17" s="294"/>
      <c r="BV17" s="294"/>
      <c r="BW17" s="294"/>
      <c r="BX17" s="294"/>
      <c r="BY17" s="294"/>
      <c r="BZ17" s="294"/>
      <c r="CA17" s="294"/>
      <c r="CB17" s="294"/>
      <c r="CC17" s="294"/>
      <c r="CD17" s="294"/>
      <c r="CE17" s="294"/>
      <c r="CF17" s="294"/>
      <c r="CG17" s="295"/>
    </row>
    <row r="18" customHeight="1" spans="1:87">
      <c r="A18" s="166"/>
      <c r="B18" s="244" t="s">
        <v>34</v>
      </c>
      <c r="C18" s="286"/>
      <c r="D18" s="245"/>
      <c r="E18" s="287"/>
      <c r="F18" s="287"/>
      <c r="G18" s="287"/>
      <c r="H18" s="287"/>
      <c r="I18" s="288"/>
      <c r="J18" s="245" t="s">
        <v>35</v>
      </c>
      <c r="K18" s="245"/>
      <c r="L18" s="287"/>
      <c r="M18" s="287"/>
      <c r="N18" s="287"/>
      <c r="O18" s="289"/>
      <c r="P18" s="166"/>
      <c r="Q18" s="244"/>
      <c r="R18" s="245"/>
      <c r="S18" s="245"/>
      <c r="T18" s="245"/>
      <c r="U18" s="245"/>
      <c r="V18" s="287"/>
      <c r="W18" s="287"/>
      <c r="X18" s="245"/>
      <c r="Y18" s="245"/>
      <c r="Z18" s="245"/>
      <c r="AA18" s="245"/>
      <c r="AB18" s="245"/>
      <c r="AC18" s="290"/>
      <c r="AD18" s="290"/>
      <c r="AE18" s="290"/>
      <c r="AF18" s="291"/>
      <c r="AG18" s="166"/>
      <c r="AH18" s="244" t="s">
        <v>36</v>
      </c>
      <c r="AI18" s="245"/>
      <c r="AJ18" s="245"/>
      <c r="AK18" s="245"/>
      <c r="AL18" s="245" t="str">
        <f t="shared" ref="AL18:AL22" si="0">IF(ISBLANK(V17),"",INT(V17/2))</f>
        <v/>
      </c>
      <c r="AM18" s="245"/>
      <c r="AN18" s="245"/>
      <c r="AO18" s="245"/>
      <c r="AP18" s="287"/>
      <c r="AQ18" s="287"/>
      <c r="AR18" s="287"/>
      <c r="AS18" s="287"/>
      <c r="AT18" s="245" t="str">
        <f t="shared" ref="AT18:AT24" si="1">IF(OR(AL18&lt;&gt;"",AP18&lt;&gt;""),SUM(AL18,AP18),"")</f>
        <v/>
      </c>
      <c r="AU18" s="245"/>
      <c r="AV18" s="245"/>
      <c r="AW18" s="264"/>
      <c r="AX18" s="166"/>
      <c r="AY18" s="166"/>
      <c r="AZ18" s="166"/>
      <c r="BA18" s="166"/>
      <c r="BB18" s="166"/>
      <c r="BC18" s="166"/>
      <c r="BD18" s="166"/>
      <c r="BE18" s="166"/>
      <c r="BF18" s="166"/>
      <c r="BG18" s="166"/>
      <c r="BH18" s="166"/>
      <c r="BI18" s="166"/>
      <c r="BJ18" s="166"/>
      <c r="BK18" s="166"/>
      <c r="BL18" s="166"/>
      <c r="BM18" s="166"/>
      <c r="BN18" s="166"/>
      <c r="BO18" s="166"/>
      <c r="BP18" s="166"/>
      <c r="BQ18" s="166"/>
      <c r="BR18" s="166"/>
      <c r="BS18" s="166"/>
      <c r="BT18" s="166"/>
      <c r="BU18" s="166"/>
      <c r="BV18" s="166"/>
      <c r="BW18" s="166"/>
      <c r="BX18" s="166"/>
      <c r="BY18" s="166"/>
      <c r="BZ18" s="166"/>
      <c r="CA18" s="166"/>
      <c r="CB18" s="166"/>
      <c r="CC18" s="166"/>
      <c r="CD18" s="166"/>
      <c r="CE18" s="166"/>
      <c r="CF18" s="166"/>
      <c r="CG18" s="166"/>
    </row>
    <row r="19" customHeight="1" spans="1:87">
      <c r="A19" s="166"/>
      <c r="B19" s="244" t="s">
        <v>37</v>
      </c>
      <c r="C19" s="286"/>
      <c r="D19" s="245"/>
      <c r="E19" s="245"/>
      <c r="F19" s="245"/>
      <c r="G19" s="245"/>
      <c r="H19" s="245"/>
      <c r="I19" s="245"/>
      <c r="J19" s="245"/>
      <c r="K19" s="245"/>
      <c r="L19" s="245"/>
      <c r="M19" s="245"/>
      <c r="N19" s="245"/>
      <c r="O19" s="264"/>
      <c r="P19" s="166"/>
      <c r="Q19" s="244" t="s">
        <v>38</v>
      </c>
      <c r="R19" s="245"/>
      <c r="S19" s="245"/>
      <c r="T19" s="245" t="str">
        <f>IF(V19=1,"E",IF(V19=2,"D",IF(V19=3,"C",IF(V19=4,"B",IF(V19=5,"A",IF(V19=6,"S",IF(V19=7,"SS",IF(V19=8,"SSS",IF(V19=9,"SSS+",IF(V19="","",IF(V19&gt;9,"?","?")))))))))))</f>
        <v/>
      </c>
      <c r="U19" s="245"/>
      <c r="V19" s="287"/>
      <c r="W19" s="287"/>
      <c r="X19" s="245" t="s">
        <v>39</v>
      </c>
      <c r="Y19" s="245"/>
      <c r="Z19" s="245"/>
      <c r="AA19" s="245"/>
      <c r="AB19" s="245"/>
      <c r="AC19" s="290" t="str">
        <f t="shared" ref="AC17:AC21" si="2">IF(ISBLANK(V19),"",INT(V19/2))</f>
        <v/>
      </c>
      <c r="AD19" s="290"/>
      <c r="AE19" s="290"/>
      <c r="AF19" s="291"/>
      <c r="AG19" s="166"/>
      <c r="AH19" s="244" t="s">
        <v>40</v>
      </c>
      <c r="AI19" s="245"/>
      <c r="AJ19" s="245"/>
      <c r="AK19" s="245"/>
      <c r="AL19" s="245" t="str">
        <f>IF(ISBLANK(V19),"",INT(V19/2))</f>
        <v/>
      </c>
      <c r="AM19" s="245"/>
      <c r="AN19" s="245"/>
      <c r="AO19" s="245"/>
      <c r="AP19" s="287"/>
      <c r="AQ19" s="287"/>
      <c r="AR19" s="287"/>
      <c r="AS19" s="287"/>
      <c r="AT19" s="245" t="str">
        <f t="shared" si="1"/>
        <v/>
      </c>
      <c r="AU19" s="245"/>
      <c r="AV19" s="245"/>
      <c r="AW19" s="264"/>
      <c r="AX19" s="166"/>
      <c r="AY19" s="296" t="str">
        <f>IF(OR(V21&gt;=3,T26&gt;=12),CI4,CI5)</f>
        <v>☐</v>
      </c>
      <c r="AZ19" s="297" t="s">
        <v>41</v>
      </c>
      <c r="BA19" s="297"/>
      <c r="BB19" s="297"/>
      <c r="BC19" s="297"/>
      <c r="BD19" s="297"/>
      <c r="BE19" s="297"/>
      <c r="BF19" s="297"/>
      <c r="BG19" s="297"/>
      <c r="BH19" s="297"/>
      <c r="BI19" s="298"/>
      <c r="BJ19" s="299" t="str">
        <f>IF(T26&gt;=14,CI4,CI5)</f>
        <v>☐</v>
      </c>
      <c r="BK19" s="283" t="s">
        <v>42</v>
      </c>
      <c r="BL19" s="234"/>
      <c r="BM19" s="234"/>
      <c r="BN19" s="234"/>
      <c r="BO19" s="234"/>
      <c r="BP19" s="234"/>
      <c r="BQ19" s="234"/>
      <c r="BR19" s="234"/>
      <c r="BS19" s="234"/>
      <c r="BT19" s="234"/>
      <c r="BU19" s="300"/>
      <c r="BV19" s="299" t="str">
        <f>IF(T26&gt;=18,CI4,CI5)</f>
        <v>☐</v>
      </c>
      <c r="BW19" s="297" t="s">
        <v>43</v>
      </c>
      <c r="BX19" s="297"/>
      <c r="BY19" s="297"/>
      <c r="BZ19" s="297"/>
      <c r="CA19" s="297"/>
      <c r="CB19" s="297"/>
      <c r="CC19" s="297"/>
      <c r="CD19" s="297"/>
      <c r="CE19" s="297"/>
      <c r="CF19" s="297"/>
      <c r="CG19" s="301"/>
      <c r="CH19" s="302"/>
      <c r="CI19" s="302"/>
    </row>
    <row r="20" customHeight="1" spans="1:87">
      <c r="A20" s="166"/>
      <c r="B20" s="303"/>
      <c r="C20" s="304"/>
      <c r="D20" s="305"/>
      <c r="E20" s="305"/>
      <c r="F20" s="305"/>
      <c r="G20" s="305"/>
      <c r="H20" s="305"/>
      <c r="I20" s="305"/>
      <c r="J20" s="305"/>
      <c r="K20" s="305"/>
      <c r="L20" s="305"/>
      <c r="M20" s="305"/>
      <c r="N20" s="305"/>
      <c r="O20" s="306"/>
      <c r="P20" s="166"/>
      <c r="Q20" s="244"/>
      <c r="R20" s="245"/>
      <c r="S20" s="245"/>
      <c r="T20" s="245"/>
      <c r="U20" s="245"/>
      <c r="V20" s="287"/>
      <c r="W20" s="287"/>
      <c r="X20" s="245"/>
      <c r="Y20" s="245"/>
      <c r="Z20" s="245"/>
      <c r="AA20" s="245"/>
      <c r="AB20" s="245"/>
      <c r="AC20" s="290"/>
      <c r="AD20" s="290"/>
      <c r="AE20" s="290"/>
      <c r="AF20" s="291"/>
      <c r="AG20" s="166"/>
      <c r="AH20" s="244" t="s">
        <v>44</v>
      </c>
      <c r="AI20" s="245"/>
      <c r="AJ20" s="245"/>
      <c r="AK20" s="245"/>
      <c r="AL20" s="245" t="str">
        <f t="shared" si="0"/>
        <v/>
      </c>
      <c r="AM20" s="245"/>
      <c r="AN20" s="245"/>
      <c r="AO20" s="245"/>
      <c r="AP20" s="287"/>
      <c r="AQ20" s="287"/>
      <c r="AR20" s="287"/>
      <c r="AS20" s="287"/>
      <c r="AT20" s="245" t="str">
        <f t="shared" si="1"/>
        <v/>
      </c>
      <c r="AU20" s="245"/>
      <c r="AV20" s="245"/>
      <c r="AW20" s="264"/>
      <c r="AX20" s="166"/>
      <c r="AY20" s="244" t="s">
        <v>45</v>
      </c>
      <c r="AZ20" s="245"/>
      <c r="BA20" s="245"/>
      <c r="BB20" s="245"/>
      <c r="BC20" s="307"/>
      <c r="BD20" s="307"/>
      <c r="BE20" s="307"/>
      <c r="BF20" s="307"/>
      <c r="BG20" s="307"/>
      <c r="BH20" s="307"/>
      <c r="BI20" s="308"/>
      <c r="BJ20" s="286" t="s">
        <v>45</v>
      </c>
      <c r="BK20" s="245"/>
      <c r="BL20" s="245"/>
      <c r="BM20" s="245"/>
      <c r="BN20" s="307"/>
      <c r="BO20" s="307"/>
      <c r="BP20" s="307"/>
      <c r="BQ20" s="307"/>
      <c r="BR20" s="307"/>
      <c r="BS20" s="307"/>
      <c r="BT20" s="307"/>
      <c r="BU20" s="308"/>
      <c r="BV20" s="309" t="s">
        <v>45</v>
      </c>
      <c r="BW20" s="290"/>
      <c r="BX20" s="290"/>
      <c r="BY20" s="290"/>
      <c r="BZ20" s="307"/>
      <c r="CA20" s="307"/>
      <c r="CB20" s="307"/>
      <c r="CC20" s="307"/>
      <c r="CD20" s="307"/>
      <c r="CE20" s="307"/>
      <c r="CF20" s="307"/>
      <c r="CG20" s="310"/>
      <c r="CH20" s="311"/>
      <c r="CI20" s="311"/>
    </row>
    <row r="21" customHeight="1" spans="1:87">
      <c r="A21" s="166"/>
      <c r="B21" s="303"/>
      <c r="C21" s="304"/>
      <c r="D21" s="305"/>
      <c r="E21" s="305"/>
      <c r="F21" s="305"/>
      <c r="G21" s="305"/>
      <c r="H21" s="305"/>
      <c r="I21" s="305"/>
      <c r="J21" s="305"/>
      <c r="K21" s="305"/>
      <c r="L21" s="305"/>
      <c r="M21" s="305"/>
      <c r="N21" s="305"/>
      <c r="O21" s="306"/>
      <c r="P21" s="166"/>
      <c r="Q21" s="244" t="s">
        <v>46</v>
      </c>
      <c r="R21" s="245"/>
      <c r="S21" s="245"/>
      <c r="T21" s="245" t="str">
        <f>IF(V21=1,"E",IF(V21=2,"D",IF(V21=3,"C",IF(V21=4,"B",IF(V21=5,"A",IF(V21=6,"S",IF(V21=7,"SS",IF(V21=8,"SSS",IF(V21=9,"SSS+",IF(V21="","",IF(V21&gt;9,"?","?")))))))))))</f>
        <v/>
      </c>
      <c r="U21" s="245"/>
      <c r="V21" s="287"/>
      <c r="W21" s="287"/>
      <c r="X21" s="245" t="s">
        <v>47</v>
      </c>
      <c r="Y21" s="245"/>
      <c r="Z21" s="245"/>
      <c r="AA21" s="245"/>
      <c r="AB21" s="245"/>
      <c r="AC21" s="290" t="str">
        <f t="shared" si="2"/>
        <v/>
      </c>
      <c r="AD21" s="290"/>
      <c r="AE21" s="290"/>
      <c r="AF21" s="291"/>
      <c r="AG21" s="166"/>
      <c r="AH21" s="244" t="s">
        <v>48</v>
      </c>
      <c r="AI21" s="245"/>
      <c r="AJ21" s="245"/>
      <c r="AK21" s="245"/>
      <c r="AL21" s="245" t="str">
        <f>IF(ISBLANK(V19),"",INT(V19/2))</f>
        <v/>
      </c>
      <c r="AM21" s="245"/>
      <c r="AN21" s="245"/>
      <c r="AO21" s="245"/>
      <c r="AP21" s="287"/>
      <c r="AQ21" s="287"/>
      <c r="AR21" s="287"/>
      <c r="AS21" s="287"/>
      <c r="AT21" s="245" t="str">
        <f t="shared" si="1"/>
        <v/>
      </c>
      <c r="AU21" s="245"/>
      <c r="AV21" s="245"/>
      <c r="AW21" s="264"/>
      <c r="AX21" s="166"/>
      <c r="AY21" s="244"/>
      <c r="AZ21" s="245"/>
      <c r="BA21" s="245"/>
      <c r="BB21" s="245"/>
      <c r="BC21" s="307"/>
      <c r="BD21" s="312"/>
      <c r="BE21" s="312"/>
      <c r="BF21" s="312"/>
      <c r="BG21" s="312"/>
      <c r="BH21" s="312"/>
      <c r="BI21" s="313"/>
      <c r="BJ21" s="286"/>
      <c r="BK21" s="245"/>
      <c r="BL21" s="245"/>
      <c r="BM21" s="245"/>
      <c r="BN21" s="307"/>
      <c r="BO21" s="307"/>
      <c r="BP21" s="307"/>
      <c r="BQ21" s="307"/>
      <c r="BR21" s="307"/>
      <c r="BS21" s="307"/>
      <c r="BT21" s="307"/>
      <c r="BU21" s="308"/>
      <c r="BV21" s="309"/>
      <c r="BW21" s="290"/>
      <c r="BX21" s="290"/>
      <c r="BY21" s="290"/>
      <c r="BZ21" s="307"/>
      <c r="CA21" s="307"/>
      <c r="CB21" s="307"/>
      <c r="CC21" s="307"/>
      <c r="CD21" s="307"/>
      <c r="CE21" s="307"/>
      <c r="CF21" s="307"/>
      <c r="CG21" s="310"/>
      <c r="CH21" s="311"/>
      <c r="CI21" s="311"/>
    </row>
    <row r="22" customHeight="1" spans="1:87">
      <c r="A22" s="166"/>
      <c r="B22" s="303"/>
      <c r="C22" s="304"/>
      <c r="D22" s="305"/>
      <c r="E22" s="305"/>
      <c r="F22" s="305"/>
      <c r="G22" s="305"/>
      <c r="H22" s="305"/>
      <c r="I22" s="305"/>
      <c r="J22" s="305"/>
      <c r="K22" s="305"/>
      <c r="L22" s="305"/>
      <c r="M22" s="305"/>
      <c r="N22" s="305"/>
      <c r="O22" s="306"/>
      <c r="P22" s="166"/>
      <c r="Q22" s="314"/>
      <c r="R22" s="315"/>
      <c r="S22" s="315"/>
      <c r="T22" s="315"/>
      <c r="U22" s="315"/>
      <c r="V22" s="316"/>
      <c r="W22" s="316"/>
      <c r="X22" s="315"/>
      <c r="Y22" s="315"/>
      <c r="Z22" s="315"/>
      <c r="AA22" s="315"/>
      <c r="AB22" s="315"/>
      <c r="AC22" s="317"/>
      <c r="AD22" s="317"/>
      <c r="AE22" s="317"/>
      <c r="AF22" s="318"/>
      <c r="AG22" s="166"/>
      <c r="AH22" s="244" t="s">
        <v>49</v>
      </c>
      <c r="AI22" s="245"/>
      <c r="AJ22" s="245"/>
      <c r="AK22" s="245"/>
      <c r="AL22" s="245" t="str">
        <f t="shared" si="0"/>
        <v/>
      </c>
      <c r="AM22" s="245"/>
      <c r="AN22" s="245"/>
      <c r="AO22" s="245"/>
      <c r="AP22" s="287"/>
      <c r="AQ22" s="287"/>
      <c r="AR22" s="287"/>
      <c r="AS22" s="287"/>
      <c r="AT22" s="245" t="str">
        <f t="shared" si="1"/>
        <v/>
      </c>
      <c r="AU22" s="245"/>
      <c r="AV22" s="245"/>
      <c r="AW22" s="264"/>
      <c r="AX22" s="166"/>
      <c r="AY22" s="319" t="s">
        <v>50</v>
      </c>
      <c r="AZ22" s="249"/>
      <c r="BA22" s="249"/>
      <c r="BB22" s="320"/>
      <c r="BC22" s="321" t="str">
        <f>IF(OR(角色卡!V21&gt;=3,角色卡!T26&gt;=12),CI4,CI5)</f>
        <v>☐</v>
      </c>
      <c r="BD22" s="322" t="s">
        <v>8</v>
      </c>
      <c r="BE22" s="322"/>
      <c r="BF22" s="323"/>
      <c r="BG22" s="324" t="s">
        <v>51</v>
      </c>
      <c r="BH22" s="322"/>
      <c r="BI22" s="325"/>
      <c r="BJ22" s="286" t="s">
        <v>52</v>
      </c>
      <c r="BK22" s="245"/>
      <c r="BL22" s="245"/>
      <c r="BM22" s="245"/>
      <c r="BN22" s="307" t="s">
        <v>16</v>
      </c>
      <c r="BO22" s="307"/>
      <c r="BP22" s="307"/>
      <c r="BQ22" s="307"/>
      <c r="BR22" s="307"/>
      <c r="BS22" s="307"/>
      <c r="BT22" s="307"/>
      <c r="BU22" s="308"/>
      <c r="BV22" s="309" t="s">
        <v>52</v>
      </c>
      <c r="BW22" s="290"/>
      <c r="BX22" s="290"/>
      <c r="BY22" s="290"/>
      <c r="BZ22" s="307" t="s">
        <v>16</v>
      </c>
      <c r="CA22" s="307"/>
      <c r="CB22" s="307"/>
      <c r="CC22" s="307"/>
      <c r="CD22" s="307"/>
      <c r="CE22" s="307"/>
      <c r="CF22" s="307"/>
      <c r="CG22" s="310"/>
      <c r="CH22" s="311"/>
      <c r="CI22" s="311"/>
    </row>
    <row r="23" customHeight="1" spans="1:87">
      <c r="A23" s="166"/>
      <c r="B23" s="326"/>
      <c r="C23" s="327"/>
      <c r="D23" s="328"/>
      <c r="E23" s="328"/>
      <c r="F23" s="328"/>
      <c r="G23" s="328"/>
      <c r="H23" s="328"/>
      <c r="I23" s="328"/>
      <c r="J23" s="328"/>
      <c r="K23" s="328"/>
      <c r="L23" s="328"/>
      <c r="M23" s="328"/>
      <c r="N23" s="328"/>
      <c r="O23" s="329"/>
      <c r="P23" s="166"/>
      <c r="Q23" s="330"/>
      <c r="R23" s="330"/>
      <c r="S23" s="330"/>
      <c r="T23" s="330"/>
      <c r="U23" s="330"/>
      <c r="V23" s="330"/>
      <c r="W23" s="330"/>
      <c r="X23" s="330"/>
      <c r="Y23" s="330"/>
      <c r="Z23" s="330"/>
      <c r="AA23" s="330"/>
      <c r="AB23" s="330"/>
      <c r="AC23" s="330"/>
      <c r="AD23" s="330"/>
      <c r="AE23" s="330"/>
      <c r="AF23" s="330"/>
      <c r="AG23" s="166"/>
      <c r="AH23" s="244" t="s">
        <v>53</v>
      </c>
      <c r="AI23" s="245"/>
      <c r="AJ23" s="245"/>
      <c r="AK23" s="245"/>
      <c r="AL23" s="245" t="str">
        <f>IF(ISBLANK(V21),"",INT(V21/2))</f>
        <v/>
      </c>
      <c r="AM23" s="245"/>
      <c r="AN23" s="245"/>
      <c r="AO23" s="245"/>
      <c r="AP23" s="287"/>
      <c r="AQ23" s="287"/>
      <c r="AR23" s="287"/>
      <c r="AS23" s="287"/>
      <c r="AT23" s="245" t="str">
        <f t="shared" si="1"/>
        <v/>
      </c>
      <c r="AU23" s="245"/>
      <c r="AV23" s="245"/>
      <c r="AW23" s="264"/>
      <c r="AX23" s="166"/>
      <c r="AY23" s="331"/>
      <c r="AZ23" s="332"/>
      <c r="BA23" s="332"/>
      <c r="BB23" s="333"/>
      <c r="BC23" s="334">
        <v>1</v>
      </c>
      <c r="BD23" s="335"/>
      <c r="BE23" s="335"/>
      <c r="BF23" s="336"/>
      <c r="BG23" s="337">
        <v>3</v>
      </c>
      <c r="BH23" s="335"/>
      <c r="BI23" s="338"/>
      <c r="BJ23" s="286"/>
      <c r="BK23" s="245"/>
      <c r="BL23" s="245"/>
      <c r="BM23" s="245"/>
      <c r="BN23" s="307"/>
      <c r="BO23" s="307"/>
      <c r="BP23" s="307"/>
      <c r="BQ23" s="307"/>
      <c r="BR23" s="307"/>
      <c r="BS23" s="307"/>
      <c r="BT23" s="307"/>
      <c r="BU23" s="308"/>
      <c r="BV23" s="309"/>
      <c r="BW23" s="290"/>
      <c r="BX23" s="290"/>
      <c r="BY23" s="290"/>
      <c r="BZ23" s="307"/>
      <c r="CA23" s="307"/>
      <c r="CB23" s="307"/>
      <c r="CC23" s="307"/>
      <c r="CD23" s="307"/>
      <c r="CE23" s="307"/>
      <c r="CF23" s="307"/>
      <c r="CG23" s="310"/>
      <c r="CH23" s="311"/>
      <c r="CI23" s="311"/>
    </row>
    <row r="24" customHeight="1" spans="1:87">
      <c r="A24" s="166"/>
      <c r="B24" s="339" t="s">
        <v>54</v>
      </c>
      <c r="C24" s="340"/>
      <c r="D24" s="340"/>
      <c r="E24" s="340"/>
      <c r="F24" s="340"/>
      <c r="G24" s="341"/>
      <c r="H24" s="341"/>
      <c r="I24" s="341"/>
      <c r="J24" s="341"/>
      <c r="K24" s="341"/>
      <c r="L24" s="341"/>
      <c r="M24" s="341"/>
      <c r="N24" s="341"/>
      <c r="O24" s="342"/>
      <c r="P24" s="166"/>
      <c r="Q24" s="343" t="s">
        <v>55</v>
      </c>
      <c r="R24" s="344"/>
      <c r="S24" s="344"/>
      <c r="T24" s="345" t="str">
        <f>IF(W24="","",W24)</f>
        <v/>
      </c>
      <c r="U24" s="346"/>
      <c r="V24" s="347" t="s">
        <v>56</v>
      </c>
      <c r="W24" s="348" t="str">
        <f>IF(OR(TRIM(E35)="深度灵体合一",TRIM(AU35)="深度灵体合一"),1,CI7)</f>
        <v/>
      </c>
      <c r="X24" s="345"/>
      <c r="Y24" s="344" t="s">
        <v>57</v>
      </c>
      <c r="Z24" s="344"/>
      <c r="AA24" s="344"/>
      <c r="AB24" s="345" t="str">
        <f>IF(AE24="","",AE24)</f>
        <v/>
      </c>
      <c r="AC24" s="346"/>
      <c r="AD24" s="347" t="s">
        <v>56</v>
      </c>
      <c r="AE24" s="348" t="str">
        <f>IF(OR(TRIM(E35)="深度灵体合一",TRIM(AU35)="深度灵体合一"),CI8+(CI7-1)*4-5,CI8)</f>
        <v/>
      </c>
      <c r="AF24" s="349"/>
      <c r="AG24" s="166"/>
      <c r="AH24" s="314" t="s">
        <v>58</v>
      </c>
      <c r="AI24" s="315"/>
      <c r="AJ24" s="315"/>
      <c r="AK24" s="315"/>
      <c r="AL24" s="350"/>
      <c r="AM24" s="350"/>
      <c r="AN24" s="350"/>
      <c r="AO24" s="350"/>
      <c r="AP24" s="316"/>
      <c r="AQ24" s="316"/>
      <c r="AR24" s="316"/>
      <c r="AS24" s="316"/>
      <c r="AT24" s="315" t="str">
        <f>IF(OR(AL24&lt;&gt;"",AP24&lt;&gt;""),SUM(AL24,AP24),IF(V19="","","0"))</f>
        <v/>
      </c>
      <c r="AU24" s="315"/>
      <c r="AV24" s="315"/>
      <c r="AW24" s="351"/>
      <c r="AX24" s="166"/>
      <c r="AY24" s="331"/>
      <c r="AZ24" s="332"/>
      <c r="BA24" s="332"/>
      <c r="BB24" s="333"/>
      <c r="BC24" s="352" t="str">
        <f>IF(V21&gt;=5,CI4,CI5)</f>
        <v>☐</v>
      </c>
      <c r="BD24" s="353" t="s">
        <v>8</v>
      </c>
      <c r="BE24" s="353"/>
      <c r="BF24" s="336"/>
      <c r="BG24" s="324" t="s">
        <v>51</v>
      </c>
      <c r="BH24" s="353" t="s">
        <v>8</v>
      </c>
      <c r="BI24" s="354"/>
      <c r="BJ24" s="286" t="s">
        <v>59</v>
      </c>
      <c r="BK24" s="245"/>
      <c r="BL24" s="245"/>
      <c r="BM24" s="245"/>
      <c r="BN24" s="290" t="str">
        <f>IF(BN22=0,"",VLOOKUP(BN22,绝技!$B$4:$C$11,2,0))</f>
        <v> </v>
      </c>
      <c r="BO24" s="290"/>
      <c r="BP24" s="290"/>
      <c r="BQ24" s="290"/>
      <c r="BR24" s="290"/>
      <c r="BS24" s="290"/>
      <c r="BT24" s="290"/>
      <c r="BU24" s="355"/>
      <c r="BV24" s="309" t="s">
        <v>59</v>
      </c>
      <c r="BW24" s="290"/>
      <c r="BX24" s="290"/>
      <c r="BY24" s="290"/>
      <c r="BZ24" s="290" t="str">
        <f>IF(BZ22=0,"",VLOOKUP(BZ22,绝技!$B$12:$C$15,2,0))</f>
        <v> </v>
      </c>
      <c r="CA24" s="290"/>
      <c r="CB24" s="290"/>
      <c r="CC24" s="290"/>
      <c r="CD24" s="290"/>
      <c r="CE24" s="290"/>
      <c r="CF24" s="290"/>
      <c r="CG24" s="291"/>
      <c r="CH24" s="356"/>
      <c r="CI24" s="356"/>
    </row>
    <row r="25" customHeight="1" spans="1:87">
      <c r="A25" s="166"/>
      <c r="B25" s="357" t="s">
        <v>60</v>
      </c>
      <c r="C25" s="358"/>
      <c r="D25" s="263"/>
      <c r="E25" s="263"/>
      <c r="F25" s="263"/>
      <c r="G25" s="263"/>
      <c r="H25" s="263"/>
      <c r="I25" s="263"/>
      <c r="J25" s="263"/>
      <c r="K25" s="263"/>
      <c r="L25" s="263"/>
      <c r="M25" s="263"/>
      <c r="N25" s="263"/>
      <c r="O25" s="359"/>
      <c r="P25" s="166"/>
      <c r="Q25" s="360"/>
      <c r="R25" s="361"/>
      <c r="S25" s="361"/>
      <c r="T25" s="362"/>
      <c r="U25" s="363"/>
      <c r="V25" s="364"/>
      <c r="W25" s="365"/>
      <c r="X25" s="362"/>
      <c r="Y25" s="361"/>
      <c r="Z25" s="361"/>
      <c r="AA25" s="361"/>
      <c r="AB25" s="362"/>
      <c r="AC25" s="363"/>
      <c r="AD25" s="364"/>
      <c r="AE25" s="365"/>
      <c r="AF25" s="366"/>
      <c r="AG25" s="166"/>
      <c r="AH25" s="367" t="s">
        <v>61</v>
      </c>
      <c r="AI25" s="367"/>
      <c r="AJ25" s="367"/>
      <c r="AK25" s="367"/>
      <c r="AL25" s="367"/>
      <c r="AM25" s="368" t="str">
        <f>IF(ISBLANK(V19),"",IF(V19=1,"0",IF(V19=2,"1",IF(V19=3,"2",IF(V19=4,"3",IF(V19=5,"4",IF(V19=6,"5",IF(V19=7,"6",IF(V19=8,"7",IF(V19=9,"8"))))))))))</f>
        <v/>
      </c>
      <c r="AN25" s="368"/>
      <c r="AO25" s="368"/>
      <c r="AP25" s="367" t="s">
        <v>62</v>
      </c>
      <c r="AQ25" s="367"/>
      <c r="AR25" s="367"/>
      <c r="AS25" s="367"/>
      <c r="AT25" s="367"/>
      <c r="AU25" s="368" t="str">
        <f>IF(ISBLANK(V19),"",AM25-SUM(AP18:AP24))</f>
        <v/>
      </c>
      <c r="AV25" s="368"/>
      <c r="AW25" s="368"/>
      <c r="AX25" s="166"/>
      <c r="AY25" s="369"/>
      <c r="AZ25" s="258"/>
      <c r="BA25" s="258"/>
      <c r="BB25" s="358"/>
      <c r="BC25" s="334">
        <v>2</v>
      </c>
      <c r="BD25" s="335"/>
      <c r="BE25" s="335"/>
      <c r="BF25" s="370"/>
      <c r="BG25" s="337">
        <v>4</v>
      </c>
      <c r="BH25" s="335"/>
      <c r="BI25" s="338"/>
      <c r="BJ25" s="286"/>
      <c r="BK25" s="245"/>
      <c r="BL25" s="245"/>
      <c r="BM25" s="245"/>
      <c r="BN25" s="290"/>
      <c r="BO25" s="290"/>
      <c r="BP25" s="290"/>
      <c r="BQ25" s="290"/>
      <c r="BR25" s="290"/>
      <c r="BS25" s="290"/>
      <c r="BT25" s="290"/>
      <c r="BU25" s="355"/>
      <c r="BV25" s="309"/>
      <c r="BW25" s="290"/>
      <c r="BX25" s="290"/>
      <c r="BY25" s="290"/>
      <c r="BZ25" s="290"/>
      <c r="CA25" s="290"/>
      <c r="CB25" s="290"/>
      <c r="CC25" s="290"/>
      <c r="CD25" s="290"/>
      <c r="CE25" s="290"/>
      <c r="CF25" s="290"/>
      <c r="CG25" s="291"/>
      <c r="CH25" s="356"/>
      <c r="CI25" s="356"/>
    </row>
    <row r="26" customHeight="1" spans="1:87">
      <c r="A26" s="166"/>
      <c r="B26" s="371"/>
      <c r="C26" s="372"/>
      <c r="D26" s="372"/>
      <c r="E26" s="372"/>
      <c r="F26" s="372"/>
      <c r="G26" s="372"/>
      <c r="H26" s="372"/>
      <c r="I26" s="372"/>
      <c r="J26" s="372"/>
      <c r="K26" s="372"/>
      <c r="L26" s="372"/>
      <c r="M26" s="372"/>
      <c r="N26" s="372"/>
      <c r="O26" s="373"/>
      <c r="P26" s="166"/>
      <c r="Q26" s="374" t="s">
        <v>63</v>
      </c>
      <c r="R26" s="375"/>
      <c r="S26" s="375"/>
      <c r="T26" s="376"/>
      <c r="U26" s="376"/>
      <c r="V26" s="377" t="s">
        <v>64</v>
      </c>
      <c r="W26" s="378"/>
      <c r="X26" s="378"/>
      <c r="Y26" s="379">
        <f>IF(OR(TRIM(E35)="人名树影",TRIM(AU35)="人名树影"),20,10)</f>
        <v>10</v>
      </c>
      <c r="Z26" s="379"/>
      <c r="AA26" s="379"/>
      <c r="AB26" s="377" t="s">
        <v>65</v>
      </c>
      <c r="AC26" s="378"/>
      <c r="AD26" s="378"/>
      <c r="AE26" s="379">
        <f>IF(OR(TRIM(E35)="有备而来",TRIM(AU35)="有备而来"),4,3)</f>
        <v>3</v>
      </c>
      <c r="AF26" s="380"/>
      <c r="AG26" s="381" t="s">
        <v>66</v>
      </c>
      <c r="AH26" s="381"/>
      <c r="AI26" s="381"/>
      <c r="AJ26" s="382">
        <v>0</v>
      </c>
      <c r="AK26" s="383"/>
      <c r="AL26" s="384" t="str">
        <f>IF(ISBLANK(T26),"←请填写灵识等级",IF(OR(V17&lt;1,V19&lt;1,V21&lt;1),"单项属性不得低于1",IF(AND(T26=9,OR(V17&gt;5,V19&gt;5,V21&gt;5)),"9灵识开卡，单项属性不可超过5",IF(T26=V17+V19+V21,"",IF(T26&gt;V17+V19+V21,"三维属性之和未达灵识等级","三维属性之和超出灵识等级")))))</f>
        <v>←请填写灵识等级</v>
      </c>
      <c r="AM26" s="384"/>
      <c r="AN26" s="384"/>
      <c r="AO26" s="384"/>
      <c r="AP26" s="384"/>
      <c r="AQ26" s="384"/>
      <c r="AR26" s="384"/>
      <c r="AS26" s="385" t="s">
        <v>67</v>
      </c>
      <c r="AT26" s="386"/>
      <c r="AU26" s="386"/>
      <c r="AV26" s="387">
        <v>0</v>
      </c>
      <c r="AW26" s="388"/>
      <c r="AX26" s="166"/>
      <c r="AY26" s="244" t="s">
        <v>68</v>
      </c>
      <c r="AZ26" s="245"/>
      <c r="BA26" s="245"/>
      <c r="BB26" s="245"/>
      <c r="BC26" s="389"/>
      <c r="BD26" s="390"/>
      <c r="BE26" s="390"/>
      <c r="BF26" s="390"/>
      <c r="BG26" s="390"/>
      <c r="BH26" s="390"/>
      <c r="BI26" s="391"/>
      <c r="BJ26" s="286" t="s">
        <v>69</v>
      </c>
      <c r="BK26" s="245"/>
      <c r="BL26" s="245"/>
      <c r="BM26" s="245"/>
      <c r="BN26" s="392" t="s">
        <v>16</v>
      </c>
      <c r="BO26" s="392"/>
      <c r="BP26" s="392"/>
      <c r="BQ26" s="392"/>
      <c r="BR26" s="392"/>
      <c r="BS26" s="392"/>
      <c r="BT26" s="392"/>
      <c r="BU26" s="393"/>
      <c r="BV26" s="309" t="s">
        <v>69</v>
      </c>
      <c r="BW26" s="290"/>
      <c r="BX26" s="290"/>
      <c r="BY26" s="290"/>
      <c r="BZ26" s="392" t="s">
        <v>16</v>
      </c>
      <c r="CA26" s="392"/>
      <c r="CB26" s="392"/>
      <c r="CC26" s="392"/>
      <c r="CD26" s="392"/>
      <c r="CE26" s="392"/>
      <c r="CF26" s="392"/>
      <c r="CG26" s="394"/>
      <c r="CH26" s="395"/>
      <c r="CI26" s="395"/>
    </row>
    <row r="27" customHeight="1" spans="1:87">
      <c r="A27" s="166"/>
      <c r="B27" s="371"/>
      <c r="C27" s="372"/>
      <c r="D27" s="372"/>
      <c r="E27" s="372"/>
      <c r="F27" s="372"/>
      <c r="G27" s="372"/>
      <c r="H27" s="372"/>
      <c r="I27" s="372"/>
      <c r="J27" s="372"/>
      <c r="K27" s="372"/>
      <c r="L27" s="372"/>
      <c r="M27" s="372"/>
      <c r="N27" s="372"/>
      <c r="O27" s="373"/>
      <c r="P27" s="166"/>
      <c r="Q27" s="396"/>
      <c r="R27" s="397"/>
      <c r="S27" s="397"/>
      <c r="T27" s="398"/>
      <c r="U27" s="398"/>
      <c r="V27" s="399"/>
      <c r="W27" s="399"/>
      <c r="X27" s="399"/>
      <c r="Y27" s="400"/>
      <c r="Z27" s="400"/>
      <c r="AA27" s="400"/>
      <c r="AB27" s="399"/>
      <c r="AC27" s="399"/>
      <c r="AD27" s="399"/>
      <c r="AE27" s="400"/>
      <c r="AF27" s="401"/>
      <c r="AG27" s="402"/>
      <c r="AH27" s="402"/>
      <c r="AI27" s="402"/>
      <c r="AJ27" s="403"/>
      <c r="AK27" s="404"/>
      <c r="AL27" s="405"/>
      <c r="AM27" s="405"/>
      <c r="AN27" s="405"/>
      <c r="AO27" s="405"/>
      <c r="AP27" s="405"/>
      <c r="AQ27" s="405"/>
      <c r="AR27" s="405"/>
      <c r="AS27" s="406"/>
      <c r="AT27" s="407"/>
      <c r="AU27" s="407"/>
      <c r="AV27" s="408"/>
      <c r="AW27" s="409"/>
      <c r="AX27" s="166"/>
      <c r="AY27" s="244"/>
      <c r="AZ27" s="245"/>
      <c r="BA27" s="245"/>
      <c r="BB27" s="245"/>
      <c r="BC27" s="410"/>
      <c r="BD27" s="411"/>
      <c r="BE27" s="411"/>
      <c r="BF27" s="411"/>
      <c r="BG27" s="411"/>
      <c r="BH27" s="411"/>
      <c r="BI27" s="412"/>
      <c r="BJ27" s="286"/>
      <c r="BK27" s="245"/>
      <c r="BL27" s="245"/>
      <c r="BM27" s="245"/>
      <c r="BN27" s="392"/>
      <c r="BO27" s="392"/>
      <c r="BP27" s="392"/>
      <c r="BQ27" s="392"/>
      <c r="BR27" s="392"/>
      <c r="BS27" s="392"/>
      <c r="BT27" s="392"/>
      <c r="BU27" s="393"/>
      <c r="BV27" s="309"/>
      <c r="BW27" s="290"/>
      <c r="BX27" s="290"/>
      <c r="BY27" s="290"/>
      <c r="BZ27" s="392"/>
      <c r="CA27" s="392"/>
      <c r="CB27" s="392"/>
      <c r="CC27" s="392"/>
      <c r="CD27" s="392"/>
      <c r="CE27" s="392"/>
      <c r="CF27" s="392"/>
      <c r="CG27" s="394"/>
      <c r="CH27" s="395"/>
      <c r="CI27" s="395"/>
    </row>
    <row r="28" customHeight="1" spans="1:87">
      <c r="A28" s="166"/>
      <c r="B28" s="371"/>
      <c r="C28" s="372"/>
      <c r="D28" s="372"/>
      <c r="E28" s="372"/>
      <c r="F28" s="372"/>
      <c r="G28" s="372"/>
      <c r="H28" s="372"/>
      <c r="I28" s="372"/>
      <c r="J28" s="372"/>
      <c r="K28" s="372"/>
      <c r="L28" s="372"/>
      <c r="M28" s="372"/>
      <c r="N28" s="372"/>
      <c r="O28" s="373"/>
      <c r="P28" s="166"/>
      <c r="Q28" s="166"/>
      <c r="R28" s="166"/>
      <c r="S28" s="166"/>
      <c r="T28" s="166"/>
      <c r="U28" s="166"/>
      <c r="V28" s="166"/>
      <c r="W28" s="166"/>
      <c r="X28" s="166"/>
      <c r="Y28" s="166"/>
      <c r="Z28" s="166"/>
      <c r="AA28" s="166"/>
      <c r="AB28" s="166"/>
      <c r="AC28" s="166"/>
      <c r="AD28" s="166"/>
      <c r="AE28" s="166"/>
      <c r="AF28" s="166"/>
      <c r="AG28" s="166"/>
      <c r="AH28" s="166"/>
      <c r="AI28" s="166"/>
      <c r="AJ28" s="166"/>
      <c r="AK28" s="166"/>
      <c r="AL28" s="166"/>
      <c r="AM28" s="166"/>
      <c r="AN28" s="166"/>
      <c r="AO28" s="166"/>
      <c r="AP28" s="166"/>
      <c r="AQ28" s="166"/>
      <c r="AR28" s="166"/>
      <c r="AS28" s="166"/>
      <c r="AT28" s="166"/>
      <c r="AU28" s="166"/>
      <c r="AV28" s="166"/>
      <c r="AW28" s="166"/>
      <c r="AX28" s="166"/>
      <c r="AY28" s="244"/>
      <c r="AZ28" s="245"/>
      <c r="BA28" s="245"/>
      <c r="BB28" s="245"/>
      <c r="BC28" s="410"/>
      <c r="BD28" s="411"/>
      <c r="BE28" s="411"/>
      <c r="BF28" s="411"/>
      <c r="BG28" s="411"/>
      <c r="BH28" s="411"/>
      <c r="BI28" s="412"/>
      <c r="BJ28" s="286"/>
      <c r="BK28" s="245"/>
      <c r="BL28" s="245"/>
      <c r="BM28" s="245"/>
      <c r="BN28" s="392"/>
      <c r="BO28" s="392"/>
      <c r="BP28" s="392"/>
      <c r="BQ28" s="392"/>
      <c r="BR28" s="392"/>
      <c r="BS28" s="392"/>
      <c r="BT28" s="392"/>
      <c r="BU28" s="393"/>
      <c r="BV28" s="309"/>
      <c r="BW28" s="290"/>
      <c r="BX28" s="290"/>
      <c r="BY28" s="290"/>
      <c r="BZ28" s="392"/>
      <c r="CA28" s="392"/>
      <c r="CB28" s="392"/>
      <c r="CC28" s="392"/>
      <c r="CD28" s="392"/>
      <c r="CE28" s="392"/>
      <c r="CF28" s="392"/>
      <c r="CG28" s="394"/>
      <c r="CH28" s="395"/>
      <c r="CI28" s="395"/>
    </row>
    <row r="29" customHeight="1" spans="1:87">
      <c r="A29" s="166"/>
      <c r="B29" s="371"/>
      <c r="C29" s="372"/>
      <c r="D29" s="372"/>
      <c r="E29" s="372"/>
      <c r="F29" s="372"/>
      <c r="G29" s="372"/>
      <c r="H29" s="372"/>
      <c r="I29" s="372"/>
      <c r="J29" s="372"/>
      <c r="K29" s="372"/>
      <c r="L29" s="372"/>
      <c r="M29" s="372"/>
      <c r="N29" s="372"/>
      <c r="O29" s="373"/>
      <c r="P29" s="166"/>
      <c r="Q29" s="413" t="s">
        <v>70</v>
      </c>
      <c r="R29" s="414"/>
      <c r="S29" s="414"/>
      <c r="T29" s="414"/>
      <c r="U29" s="414"/>
      <c r="V29" s="414"/>
      <c r="W29" s="414"/>
      <c r="X29" s="414"/>
      <c r="Y29" s="414"/>
      <c r="Z29" s="414"/>
      <c r="AA29" s="414"/>
      <c r="AB29" s="414"/>
      <c r="AC29" s="414"/>
      <c r="AD29" s="414"/>
      <c r="AE29" s="414"/>
      <c r="AF29" s="415"/>
      <c r="AG29" s="166"/>
      <c r="AH29" s="413" t="s">
        <v>71</v>
      </c>
      <c r="AI29" s="414"/>
      <c r="AJ29" s="414"/>
      <c r="AK29" s="414"/>
      <c r="AL29" s="414"/>
      <c r="AM29" s="414"/>
      <c r="AN29" s="414"/>
      <c r="AO29" s="414"/>
      <c r="AP29" s="414"/>
      <c r="AQ29" s="414"/>
      <c r="AR29" s="414"/>
      <c r="AS29" s="414"/>
      <c r="AT29" s="414"/>
      <c r="AU29" s="414"/>
      <c r="AV29" s="414"/>
      <c r="AW29" s="415"/>
      <c r="AX29" s="166"/>
      <c r="AY29" s="244"/>
      <c r="AZ29" s="245"/>
      <c r="BA29" s="245"/>
      <c r="BB29" s="245"/>
      <c r="BC29" s="410"/>
      <c r="BD29" s="411"/>
      <c r="BE29" s="411"/>
      <c r="BF29" s="411"/>
      <c r="BG29" s="411"/>
      <c r="BH29" s="411"/>
      <c r="BI29" s="412"/>
      <c r="BJ29" s="286"/>
      <c r="BK29" s="245"/>
      <c r="BL29" s="245"/>
      <c r="BM29" s="245"/>
      <c r="BN29" s="392"/>
      <c r="BO29" s="392"/>
      <c r="BP29" s="392"/>
      <c r="BQ29" s="392"/>
      <c r="BR29" s="392"/>
      <c r="BS29" s="392"/>
      <c r="BT29" s="392"/>
      <c r="BU29" s="393"/>
      <c r="BV29" s="309"/>
      <c r="BW29" s="290"/>
      <c r="BX29" s="290"/>
      <c r="BY29" s="290"/>
      <c r="BZ29" s="392"/>
      <c r="CA29" s="392"/>
      <c r="CB29" s="392"/>
      <c r="CC29" s="392"/>
      <c r="CD29" s="392"/>
      <c r="CE29" s="392"/>
      <c r="CF29" s="392"/>
      <c r="CG29" s="394"/>
      <c r="CH29" s="395"/>
      <c r="CI29" s="395"/>
    </row>
    <row r="30" customHeight="1" spans="1:87">
      <c r="A30" s="166"/>
      <c r="B30" s="371"/>
      <c r="C30" s="372"/>
      <c r="D30" s="372"/>
      <c r="E30" s="372"/>
      <c r="F30" s="372"/>
      <c r="G30" s="372"/>
      <c r="H30" s="372"/>
      <c r="I30" s="372"/>
      <c r="J30" s="372"/>
      <c r="K30" s="372"/>
      <c r="L30" s="372"/>
      <c r="M30" s="372"/>
      <c r="N30" s="372"/>
      <c r="O30" s="373"/>
      <c r="P30" s="166"/>
      <c r="Q30" s="416"/>
      <c r="R30" s="417"/>
      <c r="S30" s="417"/>
      <c r="T30" s="417"/>
      <c r="U30" s="417"/>
      <c r="V30" s="417"/>
      <c r="W30" s="417"/>
      <c r="X30" s="417"/>
      <c r="Y30" s="417"/>
      <c r="Z30" s="417"/>
      <c r="AA30" s="417"/>
      <c r="AB30" s="417"/>
      <c r="AC30" s="417"/>
      <c r="AD30" s="417"/>
      <c r="AE30" s="417"/>
      <c r="AF30" s="418"/>
      <c r="AG30" s="166"/>
      <c r="AH30" s="419"/>
      <c r="AI30" s="420"/>
      <c r="AJ30" s="420"/>
      <c r="AK30" s="420"/>
      <c r="AL30" s="420"/>
      <c r="AM30" s="420"/>
      <c r="AN30" s="420"/>
      <c r="AO30" s="420"/>
      <c r="AP30" s="420"/>
      <c r="AQ30" s="420"/>
      <c r="AR30" s="420"/>
      <c r="AS30" s="420"/>
      <c r="AT30" s="420"/>
      <c r="AU30" s="420"/>
      <c r="AV30" s="420"/>
      <c r="AW30" s="421"/>
      <c r="AX30" s="166"/>
      <c r="AY30" s="244"/>
      <c r="AZ30" s="245"/>
      <c r="BA30" s="245"/>
      <c r="BB30" s="245"/>
      <c r="BC30" s="410"/>
      <c r="BD30" s="411"/>
      <c r="BE30" s="411"/>
      <c r="BF30" s="411"/>
      <c r="BG30" s="411"/>
      <c r="BH30" s="411"/>
      <c r="BI30" s="412"/>
      <c r="BJ30" s="286" t="s">
        <v>72</v>
      </c>
      <c r="BK30" s="245"/>
      <c r="BL30" s="245"/>
      <c r="BM30" s="245"/>
      <c r="BN30" s="392"/>
      <c r="BO30" s="392"/>
      <c r="BP30" s="392"/>
      <c r="BQ30" s="392"/>
      <c r="BR30" s="392"/>
      <c r="BS30" s="392"/>
      <c r="BT30" s="392"/>
      <c r="BU30" s="393"/>
      <c r="BV30" s="309" t="s">
        <v>72</v>
      </c>
      <c r="BW30" s="290"/>
      <c r="BX30" s="290"/>
      <c r="BY30" s="290"/>
      <c r="BZ30" s="392"/>
      <c r="CA30" s="392"/>
      <c r="CB30" s="392"/>
      <c r="CC30" s="392"/>
      <c r="CD30" s="392"/>
      <c r="CE30" s="392"/>
      <c r="CF30" s="392"/>
      <c r="CG30" s="394"/>
      <c r="CH30" s="422"/>
      <c r="CI30" s="422"/>
    </row>
    <row r="31" customHeight="1" spans="1:87">
      <c r="A31" s="166"/>
      <c r="B31" s="371"/>
      <c r="C31" s="372"/>
      <c r="D31" s="372"/>
      <c r="E31" s="372"/>
      <c r="F31" s="372"/>
      <c r="G31" s="372"/>
      <c r="H31" s="372"/>
      <c r="I31" s="372"/>
      <c r="J31" s="372"/>
      <c r="K31" s="372"/>
      <c r="L31" s="372"/>
      <c r="M31" s="372"/>
      <c r="N31" s="372"/>
      <c r="O31" s="373"/>
      <c r="P31" s="166"/>
      <c r="Q31" s="423"/>
      <c r="R31" s="424"/>
      <c r="S31" s="424"/>
      <c r="T31" s="424"/>
      <c r="U31" s="424"/>
      <c r="V31" s="424"/>
      <c r="W31" s="424"/>
      <c r="X31" s="424"/>
      <c r="Y31" s="424"/>
      <c r="Z31" s="424"/>
      <c r="AA31" s="424"/>
      <c r="AB31" s="424"/>
      <c r="AC31" s="424"/>
      <c r="AD31" s="424"/>
      <c r="AE31" s="424"/>
      <c r="AF31" s="425"/>
      <c r="AG31" s="166"/>
      <c r="AH31" s="419"/>
      <c r="AI31" s="420"/>
      <c r="AJ31" s="420"/>
      <c r="AK31" s="420"/>
      <c r="AL31" s="420"/>
      <c r="AM31" s="420"/>
      <c r="AN31" s="420"/>
      <c r="AO31" s="420"/>
      <c r="AP31" s="420"/>
      <c r="AQ31" s="420"/>
      <c r="AR31" s="420"/>
      <c r="AS31" s="420"/>
      <c r="AT31" s="420"/>
      <c r="AU31" s="420"/>
      <c r="AV31" s="420"/>
      <c r="AW31" s="421"/>
      <c r="AX31" s="166"/>
      <c r="AY31" s="244"/>
      <c r="AZ31" s="245"/>
      <c r="BA31" s="245"/>
      <c r="BB31" s="245"/>
      <c r="BC31" s="410"/>
      <c r="BD31" s="411"/>
      <c r="BE31" s="411"/>
      <c r="BF31" s="411"/>
      <c r="BG31" s="411"/>
      <c r="BH31" s="411"/>
      <c r="BI31" s="412"/>
      <c r="BJ31" s="286"/>
      <c r="BK31" s="245"/>
      <c r="BL31" s="245"/>
      <c r="BM31" s="245"/>
      <c r="BN31" s="392"/>
      <c r="BO31" s="392"/>
      <c r="BP31" s="392"/>
      <c r="BQ31" s="392"/>
      <c r="BR31" s="392"/>
      <c r="BS31" s="392"/>
      <c r="BT31" s="392"/>
      <c r="BU31" s="393"/>
      <c r="BV31" s="309"/>
      <c r="BW31" s="290"/>
      <c r="BX31" s="290"/>
      <c r="BY31" s="290"/>
      <c r="BZ31" s="392"/>
      <c r="CA31" s="392"/>
      <c r="CB31" s="392"/>
      <c r="CC31" s="392"/>
      <c r="CD31" s="392"/>
      <c r="CE31" s="392"/>
      <c r="CF31" s="392"/>
      <c r="CG31" s="394"/>
      <c r="CH31" s="422"/>
      <c r="CI31" s="422"/>
    </row>
    <row r="32" customHeight="1" spans="1:87">
      <c r="A32" s="166"/>
      <c r="B32" s="426"/>
      <c r="C32" s="427"/>
      <c r="D32" s="427"/>
      <c r="E32" s="427"/>
      <c r="F32" s="427"/>
      <c r="G32" s="427"/>
      <c r="H32" s="427"/>
      <c r="I32" s="427"/>
      <c r="J32" s="427"/>
      <c r="K32" s="427"/>
      <c r="L32" s="427"/>
      <c r="M32" s="427"/>
      <c r="N32" s="427"/>
      <c r="O32" s="428"/>
      <c r="P32" s="166"/>
      <c r="Q32" s="429"/>
      <c r="R32" s="430"/>
      <c r="S32" s="430"/>
      <c r="T32" s="430"/>
      <c r="U32" s="430"/>
      <c r="V32" s="430"/>
      <c r="W32" s="430"/>
      <c r="X32" s="430"/>
      <c r="Y32" s="430"/>
      <c r="Z32" s="430"/>
      <c r="AA32" s="430"/>
      <c r="AB32" s="430"/>
      <c r="AC32" s="430"/>
      <c r="AD32" s="430"/>
      <c r="AE32" s="430"/>
      <c r="AF32" s="431"/>
      <c r="AG32" s="166"/>
      <c r="AH32" s="432"/>
      <c r="AI32" s="433"/>
      <c r="AJ32" s="433"/>
      <c r="AK32" s="433"/>
      <c r="AL32" s="433"/>
      <c r="AM32" s="433"/>
      <c r="AN32" s="433"/>
      <c r="AO32" s="433"/>
      <c r="AP32" s="433"/>
      <c r="AQ32" s="433"/>
      <c r="AR32" s="433"/>
      <c r="AS32" s="433"/>
      <c r="AT32" s="433"/>
      <c r="AU32" s="433"/>
      <c r="AV32" s="433"/>
      <c r="AW32" s="434"/>
      <c r="AX32" s="166"/>
      <c r="AY32" s="314"/>
      <c r="AZ32" s="315"/>
      <c r="BA32" s="315"/>
      <c r="BB32" s="315"/>
      <c r="BC32" s="435"/>
      <c r="BD32" s="436"/>
      <c r="BE32" s="436"/>
      <c r="BF32" s="436"/>
      <c r="BG32" s="436"/>
      <c r="BH32" s="436"/>
      <c r="BI32" s="437"/>
      <c r="BJ32" s="438"/>
      <c r="BK32" s="315"/>
      <c r="BL32" s="315"/>
      <c r="BM32" s="315"/>
      <c r="BN32" s="439"/>
      <c r="BO32" s="439"/>
      <c r="BP32" s="439"/>
      <c r="BQ32" s="439"/>
      <c r="BR32" s="439"/>
      <c r="BS32" s="439"/>
      <c r="BT32" s="439"/>
      <c r="BU32" s="440"/>
      <c r="BV32" s="441"/>
      <c r="BW32" s="317"/>
      <c r="BX32" s="317"/>
      <c r="BY32" s="317"/>
      <c r="BZ32" s="439"/>
      <c r="CA32" s="439"/>
      <c r="CB32" s="439"/>
      <c r="CC32" s="439"/>
      <c r="CD32" s="439"/>
      <c r="CE32" s="439"/>
      <c r="CF32" s="439"/>
      <c r="CG32" s="442"/>
      <c r="CH32" s="443"/>
      <c r="CI32" s="443"/>
    </row>
    <row r="33" customHeight="1" spans="1:85">
      <c r="A33" s="166"/>
      <c r="B33" s="166"/>
      <c r="C33" s="166"/>
      <c r="D33" s="166"/>
      <c r="E33" s="166"/>
      <c r="F33" s="166"/>
      <c r="G33" s="166"/>
      <c r="H33" s="166"/>
      <c r="I33" s="166"/>
      <c r="J33" s="166"/>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c r="AH33" s="166"/>
      <c r="AI33" s="166"/>
      <c r="AJ33" s="166"/>
      <c r="AK33" s="166"/>
      <c r="AL33" s="166"/>
      <c r="AM33" s="166"/>
      <c r="AN33" s="166"/>
      <c r="AO33" s="166"/>
      <c r="AP33" s="166"/>
      <c r="AQ33" s="166"/>
      <c r="AR33" s="166"/>
      <c r="AS33" s="166"/>
      <c r="AT33" s="166"/>
      <c r="AU33" s="166"/>
      <c r="AV33" s="166"/>
      <c r="AW33" s="166"/>
      <c r="AX33" s="166"/>
      <c r="AY33" s="166"/>
      <c r="AZ33" s="166"/>
      <c r="BA33" s="166"/>
      <c r="BB33" s="166"/>
      <c r="BC33" s="166"/>
      <c r="BD33" s="166"/>
      <c r="BE33" s="166"/>
      <c r="BF33" s="166"/>
      <c r="BG33" s="166"/>
      <c r="BH33" s="166"/>
      <c r="BI33" s="166"/>
      <c r="BJ33" s="166"/>
      <c r="BK33" s="166"/>
      <c r="BL33" s="166"/>
      <c r="BM33" s="166"/>
      <c r="BN33" s="166"/>
      <c r="BO33" s="166"/>
      <c r="BP33" s="166"/>
      <c r="BQ33" s="166"/>
      <c r="BR33" s="166"/>
      <c r="BS33" s="166"/>
      <c r="BT33" s="166"/>
      <c r="BU33" s="166"/>
      <c r="BV33" s="166"/>
      <c r="BW33" s="166"/>
      <c r="BX33" s="166"/>
      <c r="BY33" s="166"/>
      <c r="BZ33" s="166"/>
      <c r="CA33" s="166"/>
      <c r="CB33" s="166"/>
      <c r="CC33" s="166"/>
      <c r="CD33" s="166"/>
      <c r="CE33" s="166"/>
      <c r="CF33" s="166"/>
      <c r="CG33" s="166"/>
    </row>
    <row r="34" customHeight="1" spans="1:85">
      <c r="A34" s="166"/>
      <c r="B34" s="444" t="str">
        <f>IF(T26&gt;=10,CI4,CI5)</f>
        <v>☐</v>
      </c>
      <c r="C34" s="297" t="s">
        <v>73</v>
      </c>
      <c r="D34" s="297"/>
      <c r="E34" s="297"/>
      <c r="F34" s="297"/>
      <c r="G34" s="297"/>
      <c r="H34" s="297"/>
      <c r="I34" s="297"/>
      <c r="J34" s="297"/>
      <c r="K34" s="297"/>
      <c r="L34" s="297"/>
      <c r="M34" s="297"/>
      <c r="N34" s="297"/>
      <c r="O34" s="297"/>
      <c r="P34" s="297"/>
      <c r="Q34" s="297"/>
      <c r="R34" s="297"/>
      <c r="S34" s="297"/>
      <c r="T34" s="297"/>
      <c r="U34" s="297"/>
      <c r="V34" s="297"/>
      <c r="W34" s="297"/>
      <c r="X34" s="297"/>
      <c r="Y34" s="297"/>
      <c r="Z34" s="297"/>
      <c r="AA34" s="297"/>
      <c r="AB34" s="297"/>
      <c r="AC34" s="297"/>
      <c r="AD34" s="297"/>
      <c r="AE34" s="297"/>
      <c r="AF34" s="297"/>
      <c r="AG34" s="297"/>
      <c r="AH34" s="297"/>
      <c r="AI34" s="297"/>
      <c r="AJ34" s="297"/>
      <c r="AK34" s="297"/>
      <c r="AL34" s="297"/>
      <c r="AM34" s="297"/>
      <c r="AN34" s="297"/>
      <c r="AO34" s="297"/>
      <c r="AP34" s="297"/>
      <c r="AQ34" s="445"/>
      <c r="AR34" s="299" t="str">
        <f>IF(T26&gt;=16,CI4,CI5)</f>
        <v>☐</v>
      </c>
      <c r="AS34" s="297" t="s">
        <v>74</v>
      </c>
      <c r="AT34" s="297"/>
      <c r="AU34" s="297"/>
      <c r="AV34" s="297"/>
      <c r="AW34" s="297"/>
      <c r="AX34" s="297"/>
      <c r="AY34" s="297"/>
      <c r="AZ34" s="297"/>
      <c r="BA34" s="297"/>
      <c r="BB34" s="297"/>
      <c r="BC34" s="297"/>
      <c r="BD34" s="297"/>
      <c r="BE34" s="297"/>
      <c r="BF34" s="297"/>
      <c r="BG34" s="297"/>
      <c r="BH34" s="297"/>
      <c r="BI34" s="297"/>
      <c r="BJ34" s="297"/>
      <c r="BK34" s="297"/>
      <c r="BL34" s="297"/>
      <c r="BM34" s="297"/>
      <c r="BN34" s="297"/>
      <c r="BO34" s="297"/>
      <c r="BP34" s="297"/>
      <c r="BQ34" s="297"/>
      <c r="BR34" s="297"/>
      <c r="BS34" s="297"/>
      <c r="BT34" s="297"/>
      <c r="BU34" s="297"/>
      <c r="BV34" s="297"/>
      <c r="BW34" s="297"/>
      <c r="BX34" s="297"/>
      <c r="BY34" s="297"/>
      <c r="BZ34" s="297"/>
      <c r="CA34" s="297"/>
      <c r="CB34" s="297"/>
      <c r="CC34" s="297"/>
      <c r="CD34" s="297"/>
      <c r="CE34" s="297"/>
      <c r="CF34" s="297"/>
      <c r="CG34" s="301"/>
    </row>
    <row r="35" customHeight="1" spans="1:85">
      <c r="A35" s="166"/>
      <c r="B35" s="331" t="s">
        <v>45</v>
      </c>
      <c r="C35" s="249"/>
      <c r="D35" s="320"/>
      <c r="E35" s="246" t="s">
        <v>8</v>
      </c>
      <c r="F35" s="247"/>
      <c r="G35" s="247"/>
      <c r="H35" s="247"/>
      <c r="I35" s="247"/>
      <c r="J35" s="248" t="s">
        <v>75</v>
      </c>
      <c r="K35" s="249"/>
      <c r="L35" s="320"/>
      <c r="M35" s="446" t="s">
        <v>8</v>
      </c>
      <c r="N35" s="447"/>
      <c r="O35" s="447"/>
      <c r="P35" s="447"/>
      <c r="Q35" s="447"/>
      <c r="R35" s="447"/>
      <c r="S35" s="447"/>
      <c r="T35" s="447"/>
      <c r="U35" s="447"/>
      <c r="V35" s="447"/>
      <c r="W35" s="447"/>
      <c r="X35" s="447"/>
      <c r="Y35" s="447"/>
      <c r="Z35" s="447"/>
      <c r="AA35" s="447"/>
      <c r="AB35" s="447"/>
      <c r="AC35" s="447"/>
      <c r="AD35" s="447"/>
      <c r="AE35" s="447"/>
      <c r="AF35" s="447"/>
      <c r="AG35" s="447"/>
      <c r="AH35" s="447"/>
      <c r="AI35" s="447"/>
      <c r="AJ35" s="447"/>
      <c r="AK35" s="447"/>
      <c r="AL35" s="447"/>
      <c r="AM35" s="447"/>
      <c r="AN35" s="447"/>
      <c r="AO35" s="447"/>
      <c r="AP35" s="447"/>
      <c r="AQ35" s="448"/>
      <c r="AR35" s="449" t="s">
        <v>45</v>
      </c>
      <c r="AS35" s="249"/>
      <c r="AT35" s="320"/>
      <c r="AU35" s="246" t="s">
        <v>8</v>
      </c>
      <c r="AV35" s="247"/>
      <c r="AW35" s="247"/>
      <c r="AX35" s="247"/>
      <c r="AY35" s="247"/>
      <c r="AZ35" s="248" t="s">
        <v>75</v>
      </c>
      <c r="BA35" s="249"/>
      <c r="BB35" s="320"/>
      <c r="BC35" s="446" t="s">
        <v>8</v>
      </c>
      <c r="BD35" s="447"/>
      <c r="BE35" s="447"/>
      <c r="BF35" s="447"/>
      <c r="BG35" s="447"/>
      <c r="BH35" s="447"/>
      <c r="BI35" s="447"/>
      <c r="BJ35" s="447"/>
      <c r="BK35" s="447"/>
      <c r="BL35" s="447"/>
      <c r="BM35" s="447"/>
      <c r="BN35" s="447"/>
      <c r="BO35" s="447"/>
      <c r="BP35" s="447"/>
      <c r="BQ35" s="447"/>
      <c r="BR35" s="447"/>
      <c r="BS35" s="447"/>
      <c r="BT35" s="447"/>
      <c r="BU35" s="447"/>
      <c r="BV35" s="447"/>
      <c r="BW35" s="447"/>
      <c r="BX35" s="447"/>
      <c r="BY35" s="447"/>
      <c r="BZ35" s="447"/>
      <c r="CA35" s="447"/>
      <c r="CB35" s="447"/>
      <c r="CC35" s="447"/>
      <c r="CD35" s="447"/>
      <c r="CE35" s="447"/>
      <c r="CF35" s="447"/>
      <c r="CG35" s="450"/>
    </row>
    <row r="36" customHeight="1" spans="1:85">
      <c r="A36" s="166"/>
      <c r="B36" s="451"/>
      <c r="C36" s="452"/>
      <c r="D36" s="453"/>
      <c r="E36" s="454"/>
      <c r="F36" s="455"/>
      <c r="G36" s="455"/>
      <c r="H36" s="455"/>
      <c r="I36" s="455"/>
      <c r="J36" s="456"/>
      <c r="K36" s="452"/>
      <c r="L36" s="453"/>
      <c r="M36" s="457"/>
      <c r="N36" s="458"/>
      <c r="O36" s="458"/>
      <c r="P36" s="458"/>
      <c r="Q36" s="458"/>
      <c r="R36" s="458"/>
      <c r="S36" s="458"/>
      <c r="T36" s="458"/>
      <c r="U36" s="458"/>
      <c r="V36" s="458"/>
      <c r="W36" s="458"/>
      <c r="X36" s="458"/>
      <c r="Y36" s="458"/>
      <c r="Z36" s="458"/>
      <c r="AA36" s="458"/>
      <c r="AB36" s="458"/>
      <c r="AC36" s="458"/>
      <c r="AD36" s="458"/>
      <c r="AE36" s="458"/>
      <c r="AF36" s="458"/>
      <c r="AG36" s="458"/>
      <c r="AH36" s="458"/>
      <c r="AI36" s="458"/>
      <c r="AJ36" s="458"/>
      <c r="AK36" s="458"/>
      <c r="AL36" s="458"/>
      <c r="AM36" s="458"/>
      <c r="AN36" s="458"/>
      <c r="AO36" s="458"/>
      <c r="AP36" s="458"/>
      <c r="AQ36" s="459"/>
      <c r="AR36" s="452"/>
      <c r="AS36" s="452"/>
      <c r="AT36" s="453"/>
      <c r="AU36" s="454"/>
      <c r="AV36" s="455"/>
      <c r="AW36" s="455"/>
      <c r="AX36" s="455"/>
      <c r="AY36" s="455"/>
      <c r="AZ36" s="456"/>
      <c r="BA36" s="452"/>
      <c r="BB36" s="453"/>
      <c r="BC36" s="457"/>
      <c r="BD36" s="458"/>
      <c r="BE36" s="458"/>
      <c r="BF36" s="458"/>
      <c r="BG36" s="458"/>
      <c r="BH36" s="458"/>
      <c r="BI36" s="458"/>
      <c r="BJ36" s="458"/>
      <c r="BK36" s="458"/>
      <c r="BL36" s="458"/>
      <c r="BM36" s="458"/>
      <c r="BN36" s="458"/>
      <c r="BO36" s="458"/>
      <c r="BP36" s="458"/>
      <c r="BQ36" s="458"/>
      <c r="BR36" s="458"/>
      <c r="BS36" s="458"/>
      <c r="BT36" s="458"/>
      <c r="BU36" s="458"/>
      <c r="BV36" s="458"/>
      <c r="BW36" s="458"/>
      <c r="BX36" s="458"/>
      <c r="BY36" s="458"/>
      <c r="BZ36" s="458"/>
      <c r="CA36" s="458"/>
      <c r="CB36" s="458"/>
      <c r="CC36" s="458"/>
      <c r="CD36" s="458"/>
      <c r="CE36" s="458"/>
      <c r="CF36" s="458"/>
      <c r="CG36" s="460"/>
    </row>
    <row r="37" customHeight="1" spans="1:85">
      <c r="A37" s="166"/>
      <c r="B37" s="461" t="s">
        <v>76</v>
      </c>
      <c r="C37" s="462"/>
      <c r="D37" s="462"/>
      <c r="E37" s="462"/>
      <c r="F37" s="462"/>
      <c r="G37" s="462"/>
      <c r="H37" s="462"/>
      <c r="I37" s="462"/>
      <c r="J37" s="462"/>
      <c r="K37" s="462"/>
      <c r="L37" s="462"/>
      <c r="M37" s="462"/>
      <c r="N37" s="462"/>
      <c r="O37" s="462"/>
      <c r="P37" s="462"/>
      <c r="Q37" s="462"/>
      <c r="R37" s="462"/>
      <c r="S37" s="462"/>
      <c r="T37" s="462"/>
      <c r="U37" s="462"/>
      <c r="V37" s="462"/>
      <c r="W37" s="462"/>
      <c r="X37" s="462"/>
      <c r="Y37" s="462"/>
      <c r="Z37" s="462"/>
      <c r="AA37" s="462"/>
      <c r="AB37" s="462"/>
      <c r="AC37" s="462"/>
      <c r="AD37" s="462"/>
      <c r="AE37" s="462"/>
      <c r="AF37" s="462"/>
      <c r="AG37" s="462"/>
      <c r="AH37" s="462"/>
      <c r="AI37" s="462"/>
      <c r="AJ37" s="462"/>
      <c r="AK37" s="462"/>
      <c r="AL37" s="462"/>
      <c r="AM37" s="462"/>
      <c r="AN37" s="462"/>
      <c r="AO37" s="462"/>
      <c r="AP37" s="462"/>
      <c r="AQ37" s="463"/>
      <c r="AR37" s="464" t="s">
        <v>77</v>
      </c>
      <c r="AS37" s="462"/>
      <c r="AT37" s="462"/>
      <c r="AU37" s="462"/>
      <c r="AV37" s="462"/>
      <c r="AW37" s="462"/>
      <c r="AX37" s="462"/>
      <c r="AY37" s="462"/>
      <c r="AZ37" s="462"/>
      <c r="BA37" s="462"/>
      <c r="BB37" s="462"/>
      <c r="BC37" s="462"/>
      <c r="BD37" s="462"/>
      <c r="BE37" s="462"/>
      <c r="BF37" s="462"/>
      <c r="BG37" s="462"/>
      <c r="BH37" s="462"/>
      <c r="BI37" s="462"/>
      <c r="BJ37" s="465"/>
      <c r="BK37" s="465"/>
      <c r="BL37" s="465"/>
      <c r="BM37" s="462"/>
      <c r="BN37" s="462"/>
      <c r="BO37" s="462"/>
      <c r="BP37" s="462"/>
      <c r="BQ37" s="462"/>
      <c r="BR37" s="462"/>
      <c r="BS37" s="462"/>
      <c r="BT37" s="462"/>
      <c r="BU37" s="462"/>
      <c r="BV37" s="462"/>
      <c r="BW37" s="462"/>
      <c r="BX37" s="462"/>
      <c r="BY37" s="462"/>
      <c r="BZ37" s="462"/>
      <c r="CA37" s="462"/>
      <c r="CB37" s="462"/>
      <c r="CC37" s="462"/>
      <c r="CD37" s="462"/>
      <c r="CE37" s="462"/>
      <c r="CF37" s="462"/>
      <c r="CG37" s="466"/>
    </row>
    <row r="38" customHeight="1" spans="1:85">
      <c r="B38" s="114" t="s">
        <v>45</v>
      </c>
      <c r="C38" s="467"/>
      <c r="D38" s="467"/>
      <c r="E38" s="467"/>
      <c r="F38" s="467"/>
      <c r="G38" s="467"/>
      <c r="H38" s="467" t="s">
        <v>10</v>
      </c>
      <c r="I38" s="467"/>
      <c r="J38" s="467"/>
      <c r="K38" s="467"/>
      <c r="L38" s="467"/>
      <c r="M38" s="467" t="s">
        <v>78</v>
      </c>
      <c r="N38" s="467"/>
      <c r="O38" s="467"/>
      <c r="P38" s="467" t="s">
        <v>79</v>
      </c>
      <c r="Q38" s="467"/>
      <c r="R38" s="467" t="s">
        <v>80</v>
      </c>
      <c r="S38" s="467"/>
      <c r="T38" s="468" t="s">
        <v>69</v>
      </c>
      <c r="U38" s="468"/>
      <c r="V38" s="468"/>
      <c r="W38" s="468"/>
      <c r="X38" s="468"/>
      <c r="Y38" s="468"/>
      <c r="Z38" s="468"/>
      <c r="AA38" s="468"/>
      <c r="AB38" s="468"/>
      <c r="AC38" s="468"/>
      <c r="AD38" s="468"/>
      <c r="AE38" s="468"/>
      <c r="AF38" s="468"/>
      <c r="AG38" s="468"/>
      <c r="AH38" s="468" t="s">
        <v>81</v>
      </c>
      <c r="AI38" s="468"/>
      <c r="AJ38" s="468"/>
      <c r="AK38" s="468"/>
      <c r="AL38" s="468"/>
      <c r="AM38" s="468"/>
      <c r="AN38" s="468"/>
      <c r="AO38" s="468"/>
      <c r="AP38" s="468"/>
      <c r="AQ38" s="469"/>
      <c r="AR38" s="470" t="s">
        <v>45</v>
      </c>
      <c r="AS38" s="467"/>
      <c r="AT38" s="467"/>
      <c r="AU38" s="467"/>
      <c r="AV38" s="467"/>
      <c r="AW38" s="467"/>
      <c r="AX38" s="467" t="s">
        <v>10</v>
      </c>
      <c r="AY38" s="467"/>
      <c r="AZ38" s="467"/>
      <c r="BA38" s="467"/>
      <c r="BB38" s="467"/>
      <c r="BC38" s="467" t="s">
        <v>78</v>
      </c>
      <c r="BD38" s="467"/>
      <c r="BE38" s="467"/>
      <c r="BF38" s="467" t="s">
        <v>82</v>
      </c>
      <c r="BG38" s="467"/>
      <c r="BH38" s="467" t="s">
        <v>80</v>
      </c>
      <c r="BI38" s="467"/>
      <c r="BJ38" s="471" t="s">
        <v>52</v>
      </c>
      <c r="BK38" s="472"/>
      <c r="BL38" s="472"/>
      <c r="BM38" s="473" t="s">
        <v>69</v>
      </c>
      <c r="BN38" s="474"/>
      <c r="BO38" s="474"/>
      <c r="BP38" s="474"/>
      <c r="BQ38" s="474"/>
      <c r="BR38" s="474"/>
      <c r="BS38" s="474"/>
      <c r="BT38" s="474"/>
      <c r="BU38" s="474"/>
      <c r="BV38" s="474"/>
      <c r="BW38" s="474"/>
      <c r="BX38" s="475" t="s">
        <v>81</v>
      </c>
      <c r="BY38" s="475"/>
      <c r="BZ38" s="475"/>
      <c r="CA38" s="475"/>
      <c r="CB38" s="475"/>
      <c r="CC38" s="475"/>
      <c r="CD38" s="475"/>
      <c r="CE38" s="475"/>
      <c r="CF38" s="475"/>
      <c r="CG38" s="476"/>
    </row>
    <row r="39" customHeight="1" spans="1:85">
      <c r="B39" s="127" t="s">
        <v>16</v>
      </c>
      <c r="C39" s="287"/>
      <c r="D39" s="287"/>
      <c r="E39" s="287"/>
      <c r="F39" s="287"/>
      <c r="G39" s="287"/>
      <c r="H39" s="71" t="str">
        <f>VLOOKUP(B39,武技!$B$4:$H$60,2,0)</f>
        <v> </v>
      </c>
      <c r="I39" s="71"/>
      <c r="J39" s="71"/>
      <c r="K39" s="71"/>
      <c r="L39" s="71"/>
      <c r="M39" s="71" t="str">
        <f>VLOOKUP(B39,武技!$B$4:$H$60,3,0)</f>
        <v> </v>
      </c>
      <c r="N39" s="71"/>
      <c r="O39" s="71"/>
      <c r="P39" s="71" t="str">
        <f>VLOOKUP(B39,武技!$B$4:$H$60,4,0)</f>
        <v> </v>
      </c>
      <c r="Q39" s="71"/>
      <c r="R39" s="71" t="str">
        <f>VLOOKUP(B39,武技!$B$4:$H$60,5,0)</f>
        <v> </v>
      </c>
      <c r="S39" s="71"/>
      <c r="T39" s="271" t="s">
        <v>16</v>
      </c>
      <c r="U39" s="271"/>
      <c r="V39" s="271"/>
      <c r="W39" s="271"/>
      <c r="X39" s="271"/>
      <c r="Y39" s="271"/>
      <c r="Z39" s="271"/>
      <c r="AA39" s="271"/>
      <c r="AB39" s="271"/>
      <c r="AC39" s="271"/>
      <c r="AD39" s="271"/>
      <c r="AE39" s="271"/>
      <c r="AF39" s="271"/>
      <c r="AG39" s="271"/>
      <c r="AH39" s="477" t="str">
        <f>VLOOKUP(B39,武技!$B$4:$H$60,7,0)</f>
        <v> </v>
      </c>
      <c r="AI39" s="477"/>
      <c r="AJ39" s="477"/>
      <c r="AK39" s="477"/>
      <c r="AL39" s="477"/>
      <c r="AM39" s="477"/>
      <c r="AN39" s="477"/>
      <c r="AO39" s="477"/>
      <c r="AP39" s="477"/>
      <c r="AQ39" s="478"/>
      <c r="AR39" s="479" t="s">
        <v>16</v>
      </c>
      <c r="AS39" s="287"/>
      <c r="AT39" s="287"/>
      <c r="AU39" s="287"/>
      <c r="AV39" s="287"/>
      <c r="AW39" s="287"/>
      <c r="AX39" s="15" t="str">
        <f>VLOOKUP(AR39,术法!$B$4:$I$133,2,0)</f>
        <v> </v>
      </c>
      <c r="AY39" s="15"/>
      <c r="AZ39" s="15"/>
      <c r="BA39" s="15"/>
      <c r="BB39" s="15"/>
      <c r="BC39" s="15" t="str">
        <f>VLOOKUP(AR39,术法!$B$4:$I$133,3,0)</f>
        <v> </v>
      </c>
      <c r="BD39" s="15"/>
      <c r="BE39" s="15"/>
      <c r="BF39" s="71" t="str">
        <f>VLOOKUP(AR39,术法!$B$4:$I$133,4,0)</f>
        <v> </v>
      </c>
      <c r="BG39" s="71"/>
      <c r="BH39" s="71" t="str">
        <f>VLOOKUP(AR39,术法!$B$4:$I$133,5,0)</f>
        <v> </v>
      </c>
      <c r="BI39" s="71"/>
      <c r="BJ39" s="480" t="str">
        <f>VLOOKUP(AR39,术法!$B$4:$I$133,6,0)</f>
        <v> </v>
      </c>
      <c r="BK39" s="480"/>
      <c r="BL39" s="480"/>
      <c r="BM39" s="271" t="s">
        <v>16</v>
      </c>
      <c r="BN39" s="271"/>
      <c r="BO39" s="271"/>
      <c r="BP39" s="271"/>
      <c r="BQ39" s="271"/>
      <c r="BR39" s="271"/>
      <c r="BS39" s="271"/>
      <c r="BT39" s="271"/>
      <c r="BU39" s="271"/>
      <c r="BV39" s="271"/>
      <c r="BW39" s="271"/>
      <c r="BX39" s="477" t="str">
        <f>VLOOKUP(AR39,术法!$B$4:$I$133,8,0)</f>
        <v> </v>
      </c>
      <c r="BY39" s="477"/>
      <c r="BZ39" s="477"/>
      <c r="CA39" s="477"/>
      <c r="CB39" s="477"/>
      <c r="CC39" s="477"/>
      <c r="CD39" s="477"/>
      <c r="CE39" s="477"/>
      <c r="CF39" s="477"/>
      <c r="CG39" s="481"/>
    </row>
    <row r="40" customHeight="1" spans="1:85">
      <c r="B40" s="127"/>
      <c r="C40" s="287"/>
      <c r="D40" s="287"/>
      <c r="E40" s="287"/>
      <c r="F40" s="287"/>
      <c r="G40" s="287"/>
      <c r="H40" s="71"/>
      <c r="I40" s="71"/>
      <c r="J40" s="71"/>
      <c r="K40" s="71"/>
      <c r="L40" s="71"/>
      <c r="M40" s="71"/>
      <c r="N40" s="71"/>
      <c r="O40" s="71"/>
      <c r="P40" s="71"/>
      <c r="Q40" s="71"/>
      <c r="R40" s="71"/>
      <c r="S40" s="71"/>
      <c r="T40" s="271"/>
      <c r="U40" s="271"/>
      <c r="V40" s="271"/>
      <c r="W40" s="271"/>
      <c r="X40" s="271"/>
      <c r="Y40" s="271"/>
      <c r="Z40" s="271"/>
      <c r="AA40" s="271"/>
      <c r="AB40" s="271"/>
      <c r="AC40" s="271"/>
      <c r="AD40" s="271"/>
      <c r="AE40" s="271"/>
      <c r="AF40" s="271"/>
      <c r="AG40" s="271"/>
      <c r="AH40" s="477"/>
      <c r="AI40" s="477"/>
      <c r="AJ40" s="477"/>
      <c r="AK40" s="477"/>
      <c r="AL40" s="477"/>
      <c r="AM40" s="477"/>
      <c r="AN40" s="477"/>
      <c r="AO40" s="477"/>
      <c r="AP40" s="477"/>
      <c r="AQ40" s="478"/>
      <c r="AR40" s="479"/>
      <c r="AS40" s="287"/>
      <c r="AT40" s="287"/>
      <c r="AU40" s="287"/>
      <c r="AV40" s="287"/>
      <c r="AW40" s="287"/>
      <c r="AX40" s="15"/>
      <c r="AY40" s="15"/>
      <c r="AZ40" s="15"/>
      <c r="BA40" s="15"/>
      <c r="BB40" s="15"/>
      <c r="BC40" s="15"/>
      <c r="BD40" s="15"/>
      <c r="BE40" s="15"/>
      <c r="BF40" s="71"/>
      <c r="BG40" s="71"/>
      <c r="BH40" s="71"/>
      <c r="BI40" s="71"/>
      <c r="BJ40" s="480"/>
      <c r="BK40" s="480"/>
      <c r="BL40" s="480"/>
      <c r="BM40" s="271"/>
      <c r="BN40" s="271"/>
      <c r="BO40" s="271"/>
      <c r="BP40" s="271"/>
      <c r="BQ40" s="271"/>
      <c r="BR40" s="271"/>
      <c r="BS40" s="271"/>
      <c r="BT40" s="271"/>
      <c r="BU40" s="271"/>
      <c r="BV40" s="271"/>
      <c r="BW40" s="271"/>
      <c r="BX40" s="477"/>
      <c r="BY40" s="477"/>
      <c r="BZ40" s="477"/>
      <c r="CA40" s="477"/>
      <c r="CB40" s="477"/>
      <c r="CC40" s="477"/>
      <c r="CD40" s="477"/>
      <c r="CE40" s="477"/>
      <c r="CF40" s="477"/>
      <c r="CG40" s="481"/>
    </row>
    <row r="41" customHeight="1" spans="1:85">
      <c r="B41" s="482" t="s">
        <v>16</v>
      </c>
      <c r="C41" s="483"/>
      <c r="D41" s="483"/>
      <c r="E41" s="483"/>
      <c r="F41" s="483"/>
      <c r="G41" s="483"/>
      <c r="H41" s="73" t="str">
        <f>VLOOKUP(B41,武技!$B$4:$H$60,2,0)</f>
        <v> </v>
      </c>
      <c r="I41" s="73"/>
      <c r="J41" s="73"/>
      <c r="K41" s="73"/>
      <c r="L41" s="73"/>
      <c r="M41" s="73" t="str">
        <f>VLOOKUP(B41,武技!$B$4:$H$60,3,0)</f>
        <v> </v>
      </c>
      <c r="N41" s="73"/>
      <c r="O41" s="73"/>
      <c r="P41" s="73" t="str">
        <f>VLOOKUP(B41,武技!$B$4:$H$60,4,0)</f>
        <v> </v>
      </c>
      <c r="Q41" s="73"/>
      <c r="R41" s="73" t="str">
        <f>VLOOKUP(B41,武技!$B$4:$H$60,5,0)</f>
        <v> </v>
      </c>
      <c r="S41" s="73"/>
      <c r="T41" s="484" t="s">
        <v>16</v>
      </c>
      <c r="U41" s="484"/>
      <c r="V41" s="484"/>
      <c r="W41" s="484"/>
      <c r="X41" s="484"/>
      <c r="Y41" s="484"/>
      <c r="Z41" s="484"/>
      <c r="AA41" s="484"/>
      <c r="AB41" s="484"/>
      <c r="AC41" s="484"/>
      <c r="AD41" s="484"/>
      <c r="AE41" s="484"/>
      <c r="AF41" s="484"/>
      <c r="AG41" s="484"/>
      <c r="AH41" s="261" t="str">
        <f>VLOOKUP(B41,武技!$B$4:$H$60,7,0)</f>
        <v> </v>
      </c>
      <c r="AI41" s="261"/>
      <c r="AJ41" s="261"/>
      <c r="AK41" s="261"/>
      <c r="AL41" s="261"/>
      <c r="AM41" s="261"/>
      <c r="AN41" s="261"/>
      <c r="AO41" s="261"/>
      <c r="AP41" s="261"/>
      <c r="AQ41" s="485"/>
      <c r="AR41" s="486" t="s">
        <v>16</v>
      </c>
      <c r="AS41" s="483"/>
      <c r="AT41" s="483"/>
      <c r="AU41" s="483"/>
      <c r="AV41" s="483"/>
      <c r="AW41" s="483"/>
      <c r="AX41" s="23" t="str">
        <f>VLOOKUP(AR41,术法!$B$4:$I$133,2,0)</f>
        <v> </v>
      </c>
      <c r="AY41" s="23"/>
      <c r="AZ41" s="23"/>
      <c r="BA41" s="23"/>
      <c r="BB41" s="23"/>
      <c r="BC41" s="23" t="str">
        <f>VLOOKUP(AR41,术法!$B$4:$I$133,3,0)</f>
        <v> </v>
      </c>
      <c r="BD41" s="23"/>
      <c r="BE41" s="23"/>
      <c r="BF41" s="73" t="str">
        <f>VLOOKUP(AR41,术法!$B$4:$I$133,4,0)</f>
        <v> </v>
      </c>
      <c r="BG41" s="73"/>
      <c r="BH41" s="73" t="str">
        <f>VLOOKUP(AR41,术法!$B$4:$I$133,5,0)</f>
        <v> </v>
      </c>
      <c r="BI41" s="73"/>
      <c r="BJ41" s="487" t="str">
        <f>VLOOKUP(AR41,术法!$B$4:$I$133,6,0)</f>
        <v> </v>
      </c>
      <c r="BK41" s="487"/>
      <c r="BL41" s="487"/>
      <c r="BM41" s="484" t="s">
        <v>16</v>
      </c>
      <c r="BN41" s="484"/>
      <c r="BO41" s="484"/>
      <c r="BP41" s="484"/>
      <c r="BQ41" s="484"/>
      <c r="BR41" s="484"/>
      <c r="BS41" s="484"/>
      <c r="BT41" s="484"/>
      <c r="BU41" s="484"/>
      <c r="BV41" s="484"/>
      <c r="BW41" s="484"/>
      <c r="BX41" s="261" t="str">
        <f>VLOOKUP(AR41,术法!$B$4:$I$133,8,0)</f>
        <v> </v>
      </c>
      <c r="BY41" s="261"/>
      <c r="BZ41" s="261"/>
      <c r="CA41" s="261"/>
      <c r="CB41" s="261"/>
      <c r="CC41" s="261"/>
      <c r="CD41" s="261"/>
      <c r="CE41" s="261"/>
      <c r="CF41" s="261"/>
      <c r="CG41" s="262"/>
    </row>
    <row r="42" customHeight="1" spans="1:85">
      <c r="B42" s="482"/>
      <c r="C42" s="483"/>
      <c r="D42" s="483"/>
      <c r="E42" s="483"/>
      <c r="F42" s="483"/>
      <c r="G42" s="483"/>
      <c r="H42" s="73"/>
      <c r="I42" s="73"/>
      <c r="J42" s="73"/>
      <c r="K42" s="73"/>
      <c r="L42" s="73"/>
      <c r="M42" s="73"/>
      <c r="N42" s="73"/>
      <c r="O42" s="73"/>
      <c r="P42" s="73"/>
      <c r="Q42" s="73"/>
      <c r="R42" s="73"/>
      <c r="S42" s="73"/>
      <c r="T42" s="484"/>
      <c r="U42" s="484"/>
      <c r="V42" s="484"/>
      <c r="W42" s="484"/>
      <c r="X42" s="484"/>
      <c r="Y42" s="484"/>
      <c r="Z42" s="484"/>
      <c r="AA42" s="484"/>
      <c r="AB42" s="484"/>
      <c r="AC42" s="484"/>
      <c r="AD42" s="484"/>
      <c r="AE42" s="484"/>
      <c r="AF42" s="484"/>
      <c r="AG42" s="484"/>
      <c r="AH42" s="261"/>
      <c r="AI42" s="261"/>
      <c r="AJ42" s="261"/>
      <c r="AK42" s="261"/>
      <c r="AL42" s="261"/>
      <c r="AM42" s="261"/>
      <c r="AN42" s="261"/>
      <c r="AO42" s="261"/>
      <c r="AP42" s="261"/>
      <c r="AQ42" s="485"/>
      <c r="AR42" s="486"/>
      <c r="AS42" s="483"/>
      <c r="AT42" s="483"/>
      <c r="AU42" s="483"/>
      <c r="AV42" s="483"/>
      <c r="AW42" s="483"/>
      <c r="AX42" s="23"/>
      <c r="AY42" s="23"/>
      <c r="AZ42" s="23"/>
      <c r="BA42" s="23"/>
      <c r="BB42" s="23"/>
      <c r="BC42" s="23"/>
      <c r="BD42" s="23"/>
      <c r="BE42" s="23"/>
      <c r="BF42" s="73"/>
      <c r="BG42" s="73"/>
      <c r="BH42" s="73"/>
      <c r="BI42" s="73"/>
      <c r="BJ42" s="487"/>
      <c r="BK42" s="487"/>
      <c r="BL42" s="487"/>
      <c r="BM42" s="484"/>
      <c r="BN42" s="484"/>
      <c r="BO42" s="484"/>
      <c r="BP42" s="484"/>
      <c r="BQ42" s="484"/>
      <c r="BR42" s="484"/>
      <c r="BS42" s="484"/>
      <c r="BT42" s="484"/>
      <c r="BU42" s="484"/>
      <c r="BV42" s="484"/>
      <c r="BW42" s="484"/>
      <c r="BX42" s="261"/>
      <c r="BY42" s="261"/>
      <c r="BZ42" s="261"/>
      <c r="CA42" s="261"/>
      <c r="CB42" s="261"/>
      <c r="CC42" s="261"/>
      <c r="CD42" s="261"/>
      <c r="CE42" s="261"/>
      <c r="CF42" s="261"/>
      <c r="CG42" s="262"/>
    </row>
    <row r="43" customHeight="1" spans="1:85">
      <c r="B43" s="127" t="s">
        <v>16</v>
      </c>
      <c r="C43" s="287"/>
      <c r="D43" s="287"/>
      <c r="E43" s="287"/>
      <c r="F43" s="287"/>
      <c r="G43" s="287"/>
      <c r="H43" s="71" t="str">
        <f>VLOOKUP(B43,武技!$B$4:$H$60,2,0)</f>
        <v> </v>
      </c>
      <c r="I43" s="71"/>
      <c r="J43" s="71"/>
      <c r="K43" s="71"/>
      <c r="L43" s="71"/>
      <c r="M43" s="71" t="str">
        <f>VLOOKUP(B43,武技!$B$4:$H$60,3,0)</f>
        <v> </v>
      </c>
      <c r="N43" s="71"/>
      <c r="O43" s="71"/>
      <c r="P43" s="71" t="str">
        <f>VLOOKUP(B43,武技!$B$4:$H$60,4,0)</f>
        <v> </v>
      </c>
      <c r="Q43" s="71"/>
      <c r="R43" s="71" t="str">
        <f>VLOOKUP(B43,武技!$B$4:$H$60,5,0)</f>
        <v> </v>
      </c>
      <c r="S43" s="71"/>
      <c r="T43" s="271" t="s">
        <v>16</v>
      </c>
      <c r="U43" s="271"/>
      <c r="V43" s="271"/>
      <c r="W43" s="271"/>
      <c r="X43" s="271"/>
      <c r="Y43" s="271"/>
      <c r="Z43" s="271"/>
      <c r="AA43" s="271"/>
      <c r="AB43" s="271"/>
      <c r="AC43" s="271"/>
      <c r="AD43" s="271"/>
      <c r="AE43" s="271"/>
      <c r="AF43" s="271"/>
      <c r="AG43" s="271"/>
      <c r="AH43" s="477" t="str">
        <f>VLOOKUP(B43,武技!$B$4:$H$60,7,0)</f>
        <v> </v>
      </c>
      <c r="AI43" s="477"/>
      <c r="AJ43" s="477"/>
      <c r="AK43" s="477"/>
      <c r="AL43" s="477"/>
      <c r="AM43" s="477"/>
      <c r="AN43" s="477"/>
      <c r="AO43" s="477"/>
      <c r="AP43" s="477"/>
      <c r="AQ43" s="478"/>
      <c r="AR43" s="479" t="s">
        <v>16</v>
      </c>
      <c r="AS43" s="287"/>
      <c r="AT43" s="287"/>
      <c r="AU43" s="287"/>
      <c r="AV43" s="287"/>
      <c r="AW43" s="287"/>
      <c r="AX43" s="15" t="str">
        <f>VLOOKUP(AR43,术法!$B$4:$I$133,2,0)</f>
        <v> </v>
      </c>
      <c r="AY43" s="15"/>
      <c r="AZ43" s="15"/>
      <c r="BA43" s="15"/>
      <c r="BB43" s="15"/>
      <c r="BC43" s="15" t="str">
        <f>VLOOKUP(AR43,术法!$B$4:$I$133,3,0)</f>
        <v> </v>
      </c>
      <c r="BD43" s="15"/>
      <c r="BE43" s="15"/>
      <c r="BF43" s="71" t="str">
        <f>VLOOKUP(AR43,术法!$B$4:$I$133,4,0)</f>
        <v> </v>
      </c>
      <c r="BG43" s="71"/>
      <c r="BH43" s="71" t="str">
        <f>VLOOKUP(AR43,术法!$B$4:$I$133,5,0)</f>
        <v> </v>
      </c>
      <c r="BI43" s="71"/>
      <c r="BJ43" s="480" t="str">
        <f>VLOOKUP(AR43,术法!$B$4:$I$133,6,0)</f>
        <v> </v>
      </c>
      <c r="BK43" s="480"/>
      <c r="BL43" s="480"/>
      <c r="BM43" s="271"/>
      <c r="BN43" s="271"/>
      <c r="BO43" s="271"/>
      <c r="BP43" s="271"/>
      <c r="BQ43" s="271"/>
      <c r="BR43" s="271"/>
      <c r="BS43" s="271"/>
      <c r="BT43" s="271"/>
      <c r="BU43" s="271"/>
      <c r="BV43" s="271"/>
      <c r="BW43" s="271"/>
      <c r="BX43" s="477" t="str">
        <f>VLOOKUP(AR43,术法!$B$4:$I$133,8,0)</f>
        <v> </v>
      </c>
      <c r="BY43" s="477"/>
      <c r="BZ43" s="477"/>
      <c r="CA43" s="477"/>
      <c r="CB43" s="477"/>
      <c r="CC43" s="477"/>
      <c r="CD43" s="477"/>
      <c r="CE43" s="477"/>
      <c r="CF43" s="477"/>
      <c r="CG43" s="481"/>
    </row>
    <row r="44" customHeight="1" spans="1:85">
      <c r="B44" s="127"/>
      <c r="C44" s="287"/>
      <c r="D44" s="287"/>
      <c r="E44" s="287"/>
      <c r="F44" s="287"/>
      <c r="G44" s="287"/>
      <c r="H44" s="71"/>
      <c r="I44" s="71"/>
      <c r="J44" s="71"/>
      <c r="K44" s="71"/>
      <c r="L44" s="71"/>
      <c r="M44" s="71"/>
      <c r="N44" s="71"/>
      <c r="O44" s="71"/>
      <c r="P44" s="71"/>
      <c r="Q44" s="71"/>
      <c r="R44" s="71"/>
      <c r="S44" s="71"/>
      <c r="T44" s="271"/>
      <c r="U44" s="271"/>
      <c r="V44" s="271"/>
      <c r="W44" s="271"/>
      <c r="X44" s="271"/>
      <c r="Y44" s="271"/>
      <c r="Z44" s="271"/>
      <c r="AA44" s="271"/>
      <c r="AB44" s="271"/>
      <c r="AC44" s="271"/>
      <c r="AD44" s="271"/>
      <c r="AE44" s="271"/>
      <c r="AF44" s="271"/>
      <c r="AG44" s="271"/>
      <c r="AH44" s="477"/>
      <c r="AI44" s="477"/>
      <c r="AJ44" s="477"/>
      <c r="AK44" s="477"/>
      <c r="AL44" s="477"/>
      <c r="AM44" s="477"/>
      <c r="AN44" s="477"/>
      <c r="AO44" s="477"/>
      <c r="AP44" s="477"/>
      <c r="AQ44" s="478"/>
      <c r="AR44" s="479"/>
      <c r="AS44" s="287"/>
      <c r="AT44" s="287"/>
      <c r="AU44" s="287"/>
      <c r="AV44" s="287"/>
      <c r="AW44" s="287"/>
      <c r="AX44" s="15"/>
      <c r="AY44" s="15"/>
      <c r="AZ44" s="15"/>
      <c r="BA44" s="15"/>
      <c r="BB44" s="15"/>
      <c r="BC44" s="15"/>
      <c r="BD44" s="15"/>
      <c r="BE44" s="15"/>
      <c r="BF44" s="71"/>
      <c r="BG44" s="71"/>
      <c r="BH44" s="71"/>
      <c r="BI44" s="71"/>
      <c r="BJ44" s="480"/>
      <c r="BK44" s="480"/>
      <c r="BL44" s="480"/>
      <c r="BM44" s="271"/>
      <c r="BN44" s="271"/>
      <c r="BO44" s="271"/>
      <c r="BP44" s="271"/>
      <c r="BQ44" s="271"/>
      <c r="BR44" s="271"/>
      <c r="BS44" s="271"/>
      <c r="BT44" s="271"/>
      <c r="BU44" s="271"/>
      <c r="BV44" s="271"/>
      <c r="BW44" s="271"/>
      <c r="BX44" s="477"/>
      <c r="BY44" s="477"/>
      <c r="BZ44" s="477"/>
      <c r="CA44" s="477"/>
      <c r="CB44" s="477"/>
      <c r="CC44" s="477"/>
      <c r="CD44" s="477"/>
      <c r="CE44" s="477"/>
      <c r="CF44" s="477"/>
      <c r="CG44" s="481"/>
    </row>
    <row r="45" customHeight="1" spans="1:85">
      <c r="B45" s="482" t="s">
        <v>16</v>
      </c>
      <c r="C45" s="483"/>
      <c r="D45" s="483"/>
      <c r="E45" s="483"/>
      <c r="F45" s="483"/>
      <c r="G45" s="483"/>
      <c r="H45" s="73" t="str">
        <f>VLOOKUP(B45,武技!$B$4:$H$60,2,0)</f>
        <v> </v>
      </c>
      <c r="I45" s="73"/>
      <c r="J45" s="73"/>
      <c r="K45" s="73"/>
      <c r="L45" s="73"/>
      <c r="M45" s="73" t="str">
        <f>VLOOKUP(B45,武技!$B$4:$H$60,3,0)</f>
        <v> </v>
      </c>
      <c r="N45" s="73"/>
      <c r="O45" s="73"/>
      <c r="P45" s="73" t="str">
        <f>VLOOKUP(B45,武技!$B$4:$H$60,4,0)</f>
        <v> </v>
      </c>
      <c r="Q45" s="73"/>
      <c r="R45" s="73" t="str">
        <f>VLOOKUP(B45,武技!$B$4:$H$60,5,0)</f>
        <v> </v>
      </c>
      <c r="S45" s="73"/>
      <c r="T45" s="484" t="s">
        <v>16</v>
      </c>
      <c r="U45" s="484"/>
      <c r="V45" s="484"/>
      <c r="W45" s="484"/>
      <c r="X45" s="484"/>
      <c r="Y45" s="484"/>
      <c r="Z45" s="484"/>
      <c r="AA45" s="484"/>
      <c r="AB45" s="484"/>
      <c r="AC45" s="484"/>
      <c r="AD45" s="484"/>
      <c r="AE45" s="484"/>
      <c r="AF45" s="484"/>
      <c r="AG45" s="484"/>
      <c r="AH45" s="261" t="str">
        <f>VLOOKUP(B45,武技!$B$4:$H$60,7,0)</f>
        <v> </v>
      </c>
      <c r="AI45" s="261"/>
      <c r="AJ45" s="261"/>
      <c r="AK45" s="261"/>
      <c r="AL45" s="261"/>
      <c r="AM45" s="261"/>
      <c r="AN45" s="261"/>
      <c r="AO45" s="261"/>
      <c r="AP45" s="261"/>
      <c r="AQ45" s="485"/>
      <c r="AR45" s="486" t="s">
        <v>16</v>
      </c>
      <c r="AS45" s="483"/>
      <c r="AT45" s="483"/>
      <c r="AU45" s="483"/>
      <c r="AV45" s="483"/>
      <c r="AW45" s="483"/>
      <c r="AX45" s="23" t="str">
        <f>VLOOKUP(AR45,术法!$B$4:$I$133,2,0)</f>
        <v> </v>
      </c>
      <c r="AY45" s="23"/>
      <c r="AZ45" s="23"/>
      <c r="BA45" s="23"/>
      <c r="BB45" s="23"/>
      <c r="BC45" s="23" t="str">
        <f>VLOOKUP(AR45,术法!$B$4:$I$133,3,0)</f>
        <v> </v>
      </c>
      <c r="BD45" s="23"/>
      <c r="BE45" s="23"/>
      <c r="BF45" s="73" t="str">
        <f>VLOOKUP(AR45,术法!$B$4:$I$133,4,0)</f>
        <v> </v>
      </c>
      <c r="BG45" s="73"/>
      <c r="BH45" s="73" t="str">
        <f>VLOOKUP(AR45,术法!$B$4:$I$133,5,0)</f>
        <v> </v>
      </c>
      <c r="BI45" s="73"/>
      <c r="BJ45" s="487" t="str">
        <f>VLOOKUP(AR45,术法!$B$4:$I$133,6,0)</f>
        <v> </v>
      </c>
      <c r="BK45" s="487"/>
      <c r="BL45" s="487"/>
      <c r="BM45" s="484" t="s">
        <v>16</v>
      </c>
      <c r="BN45" s="484"/>
      <c r="BO45" s="484"/>
      <c r="BP45" s="484"/>
      <c r="BQ45" s="484"/>
      <c r="BR45" s="484"/>
      <c r="BS45" s="484"/>
      <c r="BT45" s="484"/>
      <c r="BU45" s="484"/>
      <c r="BV45" s="484"/>
      <c r="BW45" s="484"/>
      <c r="BX45" s="261" t="str">
        <f>VLOOKUP(AR45,术法!$B$4:$I$133,8,0)</f>
        <v> </v>
      </c>
      <c r="BY45" s="261"/>
      <c r="BZ45" s="261"/>
      <c r="CA45" s="261"/>
      <c r="CB45" s="261"/>
      <c r="CC45" s="261"/>
      <c r="CD45" s="261"/>
      <c r="CE45" s="261"/>
      <c r="CF45" s="261"/>
      <c r="CG45" s="262"/>
    </row>
    <row r="46" customHeight="1" spans="1:85">
      <c r="B46" s="482"/>
      <c r="C46" s="483"/>
      <c r="D46" s="483"/>
      <c r="E46" s="483"/>
      <c r="F46" s="483"/>
      <c r="G46" s="483"/>
      <c r="H46" s="73"/>
      <c r="I46" s="73"/>
      <c r="J46" s="73"/>
      <c r="K46" s="73"/>
      <c r="L46" s="73"/>
      <c r="M46" s="73"/>
      <c r="N46" s="73"/>
      <c r="O46" s="73"/>
      <c r="P46" s="73"/>
      <c r="Q46" s="73"/>
      <c r="R46" s="73"/>
      <c r="S46" s="73"/>
      <c r="T46" s="484"/>
      <c r="U46" s="484"/>
      <c r="V46" s="484"/>
      <c r="W46" s="484"/>
      <c r="X46" s="484"/>
      <c r="Y46" s="484"/>
      <c r="Z46" s="484"/>
      <c r="AA46" s="484"/>
      <c r="AB46" s="484"/>
      <c r="AC46" s="484"/>
      <c r="AD46" s="484"/>
      <c r="AE46" s="484"/>
      <c r="AF46" s="484"/>
      <c r="AG46" s="484"/>
      <c r="AH46" s="261"/>
      <c r="AI46" s="261"/>
      <c r="AJ46" s="261"/>
      <c r="AK46" s="261"/>
      <c r="AL46" s="261"/>
      <c r="AM46" s="261"/>
      <c r="AN46" s="261"/>
      <c r="AO46" s="261"/>
      <c r="AP46" s="261"/>
      <c r="AQ46" s="485"/>
      <c r="AR46" s="486"/>
      <c r="AS46" s="483"/>
      <c r="AT46" s="483"/>
      <c r="AU46" s="483"/>
      <c r="AV46" s="483"/>
      <c r="AW46" s="483"/>
      <c r="AX46" s="23"/>
      <c r="AY46" s="23"/>
      <c r="AZ46" s="23"/>
      <c r="BA46" s="23"/>
      <c r="BB46" s="23"/>
      <c r="BC46" s="23"/>
      <c r="BD46" s="23"/>
      <c r="BE46" s="23"/>
      <c r="BF46" s="73"/>
      <c r="BG46" s="73"/>
      <c r="BH46" s="73"/>
      <c r="BI46" s="73"/>
      <c r="BJ46" s="487"/>
      <c r="BK46" s="487"/>
      <c r="BL46" s="487"/>
      <c r="BM46" s="484"/>
      <c r="BN46" s="484"/>
      <c r="BO46" s="484"/>
      <c r="BP46" s="484"/>
      <c r="BQ46" s="484"/>
      <c r="BR46" s="484"/>
      <c r="BS46" s="484"/>
      <c r="BT46" s="484"/>
      <c r="BU46" s="484"/>
      <c r="BV46" s="484"/>
      <c r="BW46" s="484"/>
      <c r="BX46" s="261"/>
      <c r="BY46" s="261"/>
      <c r="BZ46" s="261"/>
      <c r="CA46" s="261"/>
      <c r="CB46" s="261"/>
      <c r="CC46" s="261"/>
      <c r="CD46" s="261"/>
      <c r="CE46" s="261"/>
      <c r="CF46" s="261"/>
      <c r="CG46" s="262"/>
    </row>
    <row r="47" customHeight="1" spans="1:85">
      <c r="B47" s="127" t="s">
        <v>16</v>
      </c>
      <c r="C47" s="287"/>
      <c r="D47" s="287"/>
      <c r="E47" s="287"/>
      <c r="F47" s="287"/>
      <c r="G47" s="287"/>
      <c r="H47" s="71" t="str">
        <f>VLOOKUP(B47,武技!$B$4:$H$60,2,0)</f>
        <v> </v>
      </c>
      <c r="I47" s="71"/>
      <c r="J47" s="71"/>
      <c r="K47" s="71"/>
      <c r="L47" s="71"/>
      <c r="M47" s="71" t="str">
        <f>VLOOKUP(B47,武技!$B$4:$H$60,3,0)</f>
        <v> </v>
      </c>
      <c r="N47" s="71"/>
      <c r="O47" s="71"/>
      <c r="P47" s="71" t="str">
        <f>VLOOKUP(B47,武技!$B$4:$H$60,4,0)</f>
        <v> </v>
      </c>
      <c r="Q47" s="71"/>
      <c r="R47" s="71" t="str">
        <f>VLOOKUP(B47,武技!$B$4:$H$60,5,0)</f>
        <v> </v>
      </c>
      <c r="S47" s="71"/>
      <c r="T47" s="271" t="s">
        <v>16</v>
      </c>
      <c r="U47" s="271"/>
      <c r="V47" s="271"/>
      <c r="W47" s="271"/>
      <c r="X47" s="271"/>
      <c r="Y47" s="271"/>
      <c r="Z47" s="271"/>
      <c r="AA47" s="271"/>
      <c r="AB47" s="271"/>
      <c r="AC47" s="271"/>
      <c r="AD47" s="271"/>
      <c r="AE47" s="271"/>
      <c r="AF47" s="271"/>
      <c r="AG47" s="271"/>
      <c r="AH47" s="477" t="str">
        <f>VLOOKUP(B47,武技!$B$4:$H$60,7,0)</f>
        <v> </v>
      </c>
      <c r="AI47" s="477"/>
      <c r="AJ47" s="477"/>
      <c r="AK47" s="477"/>
      <c r="AL47" s="477"/>
      <c r="AM47" s="477"/>
      <c r="AN47" s="477"/>
      <c r="AO47" s="477"/>
      <c r="AP47" s="477"/>
      <c r="AQ47" s="478"/>
      <c r="AR47" s="479" t="s">
        <v>16</v>
      </c>
      <c r="AS47" s="287"/>
      <c r="AT47" s="287"/>
      <c r="AU47" s="287"/>
      <c r="AV47" s="287"/>
      <c r="AW47" s="287"/>
      <c r="AX47" s="15" t="str">
        <f>VLOOKUP(AR47,术法!$B$4:$I$133,2,0)</f>
        <v> </v>
      </c>
      <c r="AY47" s="15"/>
      <c r="AZ47" s="15"/>
      <c r="BA47" s="15"/>
      <c r="BB47" s="15"/>
      <c r="BC47" s="15" t="str">
        <f>VLOOKUP(AR47,术法!$B$4:$I$133,3,0)</f>
        <v> </v>
      </c>
      <c r="BD47" s="15"/>
      <c r="BE47" s="15"/>
      <c r="BF47" s="71" t="str">
        <f>VLOOKUP(AR47,术法!$B$4:$I$133,4,0)</f>
        <v> </v>
      </c>
      <c r="BG47" s="71"/>
      <c r="BH47" s="71" t="str">
        <f>VLOOKUP(AR47,术法!$B$4:$I$133,5,0)</f>
        <v> </v>
      </c>
      <c r="BI47" s="71"/>
      <c r="BJ47" s="480" t="str">
        <f>VLOOKUP(AR47,术法!$B$4:$I$133,6,0)</f>
        <v> </v>
      </c>
      <c r="BK47" s="480"/>
      <c r="BL47" s="480"/>
      <c r="BM47" s="271"/>
      <c r="BN47" s="271"/>
      <c r="BO47" s="271"/>
      <c r="BP47" s="271"/>
      <c r="BQ47" s="271"/>
      <c r="BR47" s="271"/>
      <c r="BS47" s="271"/>
      <c r="BT47" s="271"/>
      <c r="BU47" s="271"/>
      <c r="BV47" s="271"/>
      <c r="BW47" s="271"/>
      <c r="BX47" s="477" t="str">
        <f>VLOOKUP(AR47,术法!$B$4:$I$133,8,0)</f>
        <v> </v>
      </c>
      <c r="BY47" s="477"/>
      <c r="BZ47" s="477"/>
      <c r="CA47" s="477"/>
      <c r="CB47" s="477"/>
      <c r="CC47" s="477"/>
      <c r="CD47" s="477"/>
      <c r="CE47" s="477"/>
      <c r="CF47" s="477"/>
      <c r="CG47" s="481"/>
    </row>
    <row r="48" customHeight="1" spans="1:85">
      <c r="B48" s="127"/>
      <c r="C48" s="287"/>
      <c r="D48" s="287"/>
      <c r="E48" s="287"/>
      <c r="F48" s="287"/>
      <c r="G48" s="287"/>
      <c r="H48" s="71"/>
      <c r="I48" s="71"/>
      <c r="J48" s="71"/>
      <c r="K48" s="71"/>
      <c r="L48" s="71"/>
      <c r="M48" s="71"/>
      <c r="N48" s="71"/>
      <c r="O48" s="71"/>
      <c r="P48" s="71"/>
      <c r="Q48" s="71"/>
      <c r="R48" s="71"/>
      <c r="S48" s="71"/>
      <c r="T48" s="271"/>
      <c r="U48" s="271"/>
      <c r="V48" s="271"/>
      <c r="W48" s="271"/>
      <c r="X48" s="271"/>
      <c r="Y48" s="271"/>
      <c r="Z48" s="271"/>
      <c r="AA48" s="271"/>
      <c r="AB48" s="271"/>
      <c r="AC48" s="271"/>
      <c r="AD48" s="271"/>
      <c r="AE48" s="271"/>
      <c r="AF48" s="271"/>
      <c r="AG48" s="271"/>
      <c r="AH48" s="477"/>
      <c r="AI48" s="477"/>
      <c r="AJ48" s="477"/>
      <c r="AK48" s="477"/>
      <c r="AL48" s="477"/>
      <c r="AM48" s="477"/>
      <c r="AN48" s="477"/>
      <c r="AO48" s="477"/>
      <c r="AP48" s="477"/>
      <c r="AQ48" s="478"/>
      <c r="AR48" s="479"/>
      <c r="AS48" s="287"/>
      <c r="AT48" s="287"/>
      <c r="AU48" s="287"/>
      <c r="AV48" s="287"/>
      <c r="AW48" s="287"/>
      <c r="AX48" s="15"/>
      <c r="AY48" s="15"/>
      <c r="AZ48" s="15"/>
      <c r="BA48" s="15"/>
      <c r="BB48" s="15"/>
      <c r="BC48" s="15"/>
      <c r="BD48" s="15"/>
      <c r="BE48" s="15"/>
      <c r="BF48" s="71"/>
      <c r="BG48" s="71"/>
      <c r="BH48" s="71"/>
      <c r="BI48" s="71"/>
      <c r="BJ48" s="480"/>
      <c r="BK48" s="480"/>
      <c r="BL48" s="480"/>
      <c r="BM48" s="271"/>
      <c r="BN48" s="271"/>
      <c r="BO48" s="271"/>
      <c r="BP48" s="271"/>
      <c r="BQ48" s="271"/>
      <c r="BR48" s="271"/>
      <c r="BS48" s="271"/>
      <c r="BT48" s="271"/>
      <c r="BU48" s="271"/>
      <c r="BV48" s="271"/>
      <c r="BW48" s="271"/>
      <c r="BX48" s="477"/>
      <c r="BY48" s="477"/>
      <c r="BZ48" s="477"/>
      <c r="CA48" s="477"/>
      <c r="CB48" s="477"/>
      <c r="CC48" s="477"/>
      <c r="CD48" s="477"/>
      <c r="CE48" s="477"/>
      <c r="CF48" s="477"/>
      <c r="CG48" s="481"/>
    </row>
    <row r="49" customHeight="1" spans="2:85">
      <c r="B49" s="482" t="s">
        <v>16</v>
      </c>
      <c r="C49" s="483"/>
      <c r="D49" s="483"/>
      <c r="E49" s="483"/>
      <c r="F49" s="483"/>
      <c r="G49" s="483"/>
      <c r="H49" s="73" t="str">
        <f>VLOOKUP(B49,武技!$B$4:$H$60,2,0)</f>
        <v> </v>
      </c>
      <c r="I49" s="73"/>
      <c r="J49" s="73"/>
      <c r="K49" s="73"/>
      <c r="L49" s="73"/>
      <c r="M49" s="73" t="str">
        <f>VLOOKUP(B49,武技!$B$4:$H$60,3,0)</f>
        <v> </v>
      </c>
      <c r="N49" s="73"/>
      <c r="O49" s="73"/>
      <c r="P49" s="73" t="str">
        <f>VLOOKUP(B49,武技!$B$4:$H$60,4,0)</f>
        <v> </v>
      </c>
      <c r="Q49" s="73"/>
      <c r="R49" s="73" t="str">
        <f>VLOOKUP(B49,武技!$B$4:$H$60,5,0)</f>
        <v> </v>
      </c>
      <c r="S49" s="73"/>
      <c r="T49" s="484" t="s">
        <v>16</v>
      </c>
      <c r="U49" s="484"/>
      <c r="V49" s="484"/>
      <c r="W49" s="484"/>
      <c r="X49" s="484"/>
      <c r="Y49" s="484"/>
      <c r="Z49" s="484"/>
      <c r="AA49" s="484"/>
      <c r="AB49" s="484"/>
      <c r="AC49" s="484"/>
      <c r="AD49" s="484"/>
      <c r="AE49" s="484"/>
      <c r="AF49" s="484"/>
      <c r="AG49" s="484"/>
      <c r="AH49" s="261" t="str">
        <f>VLOOKUP(B49,武技!$B$4:$H$60,7,0)</f>
        <v> </v>
      </c>
      <c r="AI49" s="261"/>
      <c r="AJ49" s="261"/>
      <c r="AK49" s="261"/>
      <c r="AL49" s="261"/>
      <c r="AM49" s="261"/>
      <c r="AN49" s="261"/>
      <c r="AO49" s="261"/>
      <c r="AP49" s="261"/>
      <c r="AQ49" s="485"/>
      <c r="AR49" s="486" t="s">
        <v>16</v>
      </c>
      <c r="AS49" s="483"/>
      <c r="AT49" s="483"/>
      <c r="AU49" s="483"/>
      <c r="AV49" s="483"/>
      <c r="AW49" s="483"/>
      <c r="AX49" s="23" t="str">
        <f>VLOOKUP(AR49,术法!$B$4:$I$133,2,0)</f>
        <v> </v>
      </c>
      <c r="AY49" s="23"/>
      <c r="AZ49" s="23"/>
      <c r="BA49" s="23"/>
      <c r="BB49" s="23"/>
      <c r="BC49" s="23" t="str">
        <f>VLOOKUP(AR49,术法!$B$4:$I$133,3,0)</f>
        <v> </v>
      </c>
      <c r="BD49" s="23"/>
      <c r="BE49" s="23"/>
      <c r="BF49" s="73" t="str">
        <f>VLOOKUP(AR49,术法!$B$4:$I$133,4,0)</f>
        <v> </v>
      </c>
      <c r="BG49" s="73"/>
      <c r="BH49" s="73" t="str">
        <f>VLOOKUP(AR49,术法!$B$4:$I$133,5,0)</f>
        <v> </v>
      </c>
      <c r="BI49" s="73"/>
      <c r="BJ49" s="487" t="str">
        <f>VLOOKUP(AR49,术法!$B$4:$I$133,6,0)</f>
        <v> </v>
      </c>
      <c r="BK49" s="487"/>
      <c r="BL49" s="487"/>
      <c r="BM49" s="484"/>
      <c r="BN49" s="484"/>
      <c r="BO49" s="484"/>
      <c r="BP49" s="484"/>
      <c r="BQ49" s="484"/>
      <c r="BR49" s="484"/>
      <c r="BS49" s="484"/>
      <c r="BT49" s="484"/>
      <c r="BU49" s="484"/>
      <c r="BV49" s="484"/>
      <c r="BW49" s="484"/>
      <c r="BX49" s="261" t="str">
        <f>VLOOKUP(AR49,术法!$B$4:$I$133,8,0)</f>
        <v> </v>
      </c>
      <c r="BY49" s="261"/>
      <c r="BZ49" s="261"/>
      <c r="CA49" s="261"/>
      <c r="CB49" s="261"/>
      <c r="CC49" s="261"/>
      <c r="CD49" s="261"/>
      <c r="CE49" s="261"/>
      <c r="CF49" s="261"/>
      <c r="CG49" s="262"/>
    </row>
    <row r="50" customHeight="1" spans="2:85">
      <c r="B50" s="482"/>
      <c r="C50" s="483"/>
      <c r="D50" s="483"/>
      <c r="E50" s="483"/>
      <c r="F50" s="483"/>
      <c r="G50" s="483"/>
      <c r="H50" s="73"/>
      <c r="I50" s="73"/>
      <c r="J50" s="73"/>
      <c r="K50" s="73"/>
      <c r="L50" s="73"/>
      <c r="M50" s="73"/>
      <c r="N50" s="73"/>
      <c r="O50" s="73"/>
      <c r="P50" s="73"/>
      <c r="Q50" s="73"/>
      <c r="R50" s="73"/>
      <c r="S50" s="73"/>
      <c r="T50" s="484"/>
      <c r="U50" s="484"/>
      <c r="V50" s="484"/>
      <c r="W50" s="484"/>
      <c r="X50" s="484"/>
      <c r="Y50" s="484"/>
      <c r="Z50" s="484"/>
      <c r="AA50" s="484"/>
      <c r="AB50" s="484"/>
      <c r="AC50" s="484"/>
      <c r="AD50" s="484"/>
      <c r="AE50" s="484"/>
      <c r="AF50" s="484"/>
      <c r="AG50" s="484"/>
      <c r="AH50" s="261"/>
      <c r="AI50" s="261"/>
      <c r="AJ50" s="261"/>
      <c r="AK50" s="261"/>
      <c r="AL50" s="261"/>
      <c r="AM50" s="261"/>
      <c r="AN50" s="261"/>
      <c r="AO50" s="261"/>
      <c r="AP50" s="261"/>
      <c r="AQ50" s="485"/>
      <c r="AR50" s="486"/>
      <c r="AS50" s="483"/>
      <c r="AT50" s="483"/>
      <c r="AU50" s="483"/>
      <c r="AV50" s="483"/>
      <c r="AW50" s="483"/>
      <c r="AX50" s="23"/>
      <c r="AY50" s="23"/>
      <c r="AZ50" s="23"/>
      <c r="BA50" s="23"/>
      <c r="BB50" s="23"/>
      <c r="BC50" s="23"/>
      <c r="BD50" s="23"/>
      <c r="BE50" s="23"/>
      <c r="BF50" s="73"/>
      <c r="BG50" s="73"/>
      <c r="BH50" s="73"/>
      <c r="BI50" s="73"/>
      <c r="BJ50" s="487"/>
      <c r="BK50" s="487"/>
      <c r="BL50" s="487"/>
      <c r="BM50" s="484"/>
      <c r="BN50" s="484"/>
      <c r="BO50" s="484"/>
      <c r="BP50" s="484"/>
      <c r="BQ50" s="484"/>
      <c r="BR50" s="484"/>
      <c r="BS50" s="484"/>
      <c r="BT50" s="484"/>
      <c r="BU50" s="484"/>
      <c r="BV50" s="484"/>
      <c r="BW50" s="484"/>
      <c r="BX50" s="261"/>
      <c r="BY50" s="261"/>
      <c r="BZ50" s="261"/>
      <c r="CA50" s="261"/>
      <c r="CB50" s="261"/>
      <c r="CC50" s="261"/>
      <c r="CD50" s="261"/>
      <c r="CE50" s="261"/>
      <c r="CF50" s="261"/>
      <c r="CG50" s="262"/>
    </row>
    <row r="51" customHeight="1" spans="2:85">
      <c r="B51" s="127" t="s">
        <v>16</v>
      </c>
      <c r="C51" s="287"/>
      <c r="D51" s="287"/>
      <c r="E51" s="287"/>
      <c r="F51" s="287"/>
      <c r="G51" s="287"/>
      <c r="H51" s="71" t="str">
        <f>VLOOKUP(B51,武技!$B$4:$H$60,2,0)</f>
        <v> </v>
      </c>
      <c r="I51" s="71"/>
      <c r="J51" s="71"/>
      <c r="K51" s="71"/>
      <c r="L51" s="71"/>
      <c r="M51" s="71" t="str">
        <f>VLOOKUP(B51,武技!$B$4:$H$60,3,0)</f>
        <v> </v>
      </c>
      <c r="N51" s="71"/>
      <c r="O51" s="71"/>
      <c r="P51" s="71" t="str">
        <f>VLOOKUP(B51,武技!$B$4:$H$60,4,0)</f>
        <v> </v>
      </c>
      <c r="Q51" s="71"/>
      <c r="R51" s="71" t="str">
        <f>VLOOKUP(B51,武技!$B$4:$H$60,5,0)</f>
        <v> </v>
      </c>
      <c r="S51" s="71"/>
      <c r="T51" s="271" t="s">
        <v>16</v>
      </c>
      <c r="U51" s="271"/>
      <c r="V51" s="271"/>
      <c r="W51" s="271"/>
      <c r="X51" s="271"/>
      <c r="Y51" s="271"/>
      <c r="Z51" s="271"/>
      <c r="AA51" s="271"/>
      <c r="AB51" s="271"/>
      <c r="AC51" s="271"/>
      <c r="AD51" s="271"/>
      <c r="AE51" s="271"/>
      <c r="AF51" s="271"/>
      <c r="AG51" s="271"/>
      <c r="AH51" s="477" t="str">
        <f>VLOOKUP(B51,武技!$B$4:$H$60,7,0)</f>
        <v> </v>
      </c>
      <c r="AI51" s="477"/>
      <c r="AJ51" s="477"/>
      <c r="AK51" s="477"/>
      <c r="AL51" s="477"/>
      <c r="AM51" s="477"/>
      <c r="AN51" s="477"/>
      <c r="AO51" s="477"/>
      <c r="AP51" s="477"/>
      <c r="AQ51" s="478"/>
      <c r="AR51" s="479" t="s">
        <v>16</v>
      </c>
      <c r="AS51" s="287"/>
      <c r="AT51" s="287"/>
      <c r="AU51" s="287"/>
      <c r="AV51" s="287"/>
      <c r="AW51" s="287"/>
      <c r="AX51" s="15" t="str">
        <f>VLOOKUP(AR51,术法!$B$4:$I$133,2,0)</f>
        <v> </v>
      </c>
      <c r="AY51" s="15"/>
      <c r="AZ51" s="15"/>
      <c r="BA51" s="15"/>
      <c r="BB51" s="15"/>
      <c r="BC51" s="15" t="str">
        <f>VLOOKUP(AR51,术法!$B$4:$I$133,3,0)</f>
        <v> </v>
      </c>
      <c r="BD51" s="15"/>
      <c r="BE51" s="15"/>
      <c r="BF51" s="71" t="str">
        <f>VLOOKUP(AR51,术法!$B$4:$I$133,4,0)</f>
        <v> </v>
      </c>
      <c r="BG51" s="71"/>
      <c r="BH51" s="71" t="str">
        <f>VLOOKUP(AR51,术法!$B$4:$I$133,5,0)</f>
        <v> </v>
      </c>
      <c r="BI51" s="71"/>
      <c r="BJ51" s="480" t="str">
        <f>VLOOKUP(AR51,术法!$B$4:$I$133,6,0)</f>
        <v> </v>
      </c>
      <c r="BK51" s="480"/>
      <c r="BL51" s="480"/>
      <c r="BM51" s="271"/>
      <c r="BN51" s="271"/>
      <c r="BO51" s="271"/>
      <c r="BP51" s="271"/>
      <c r="BQ51" s="271"/>
      <c r="BR51" s="271"/>
      <c r="BS51" s="271"/>
      <c r="BT51" s="271"/>
      <c r="BU51" s="271"/>
      <c r="BV51" s="271"/>
      <c r="BW51" s="271"/>
      <c r="BX51" s="477" t="str">
        <f>VLOOKUP(AR51,术法!$B$4:$I$133,8,0)</f>
        <v> </v>
      </c>
      <c r="BY51" s="477"/>
      <c r="BZ51" s="477"/>
      <c r="CA51" s="477"/>
      <c r="CB51" s="477"/>
      <c r="CC51" s="477"/>
      <c r="CD51" s="477"/>
      <c r="CE51" s="477"/>
      <c r="CF51" s="477"/>
      <c r="CG51" s="481"/>
    </row>
    <row r="52" customHeight="1" spans="2:85">
      <c r="B52" s="127"/>
      <c r="C52" s="287"/>
      <c r="D52" s="287"/>
      <c r="E52" s="287"/>
      <c r="F52" s="287"/>
      <c r="G52" s="287"/>
      <c r="H52" s="71"/>
      <c r="I52" s="71"/>
      <c r="J52" s="71"/>
      <c r="K52" s="71"/>
      <c r="L52" s="71"/>
      <c r="M52" s="71"/>
      <c r="N52" s="71"/>
      <c r="O52" s="71"/>
      <c r="P52" s="71"/>
      <c r="Q52" s="71"/>
      <c r="R52" s="71"/>
      <c r="S52" s="71"/>
      <c r="T52" s="271"/>
      <c r="U52" s="271"/>
      <c r="V52" s="271"/>
      <c r="W52" s="271"/>
      <c r="X52" s="271"/>
      <c r="Y52" s="271"/>
      <c r="Z52" s="271"/>
      <c r="AA52" s="271"/>
      <c r="AB52" s="271"/>
      <c r="AC52" s="271"/>
      <c r="AD52" s="271"/>
      <c r="AE52" s="271"/>
      <c r="AF52" s="271"/>
      <c r="AG52" s="271"/>
      <c r="AH52" s="477"/>
      <c r="AI52" s="477"/>
      <c r="AJ52" s="477"/>
      <c r="AK52" s="477"/>
      <c r="AL52" s="477"/>
      <c r="AM52" s="477"/>
      <c r="AN52" s="477"/>
      <c r="AO52" s="477"/>
      <c r="AP52" s="477"/>
      <c r="AQ52" s="478"/>
      <c r="AR52" s="479"/>
      <c r="AS52" s="287"/>
      <c r="AT52" s="287"/>
      <c r="AU52" s="287"/>
      <c r="AV52" s="287"/>
      <c r="AW52" s="287"/>
      <c r="AX52" s="15"/>
      <c r="AY52" s="15"/>
      <c r="AZ52" s="15"/>
      <c r="BA52" s="15"/>
      <c r="BB52" s="15"/>
      <c r="BC52" s="15"/>
      <c r="BD52" s="15"/>
      <c r="BE52" s="15"/>
      <c r="BF52" s="71"/>
      <c r="BG52" s="71"/>
      <c r="BH52" s="71"/>
      <c r="BI52" s="71"/>
      <c r="BJ52" s="480"/>
      <c r="BK52" s="480"/>
      <c r="BL52" s="480"/>
      <c r="BM52" s="271"/>
      <c r="BN52" s="271"/>
      <c r="BO52" s="271"/>
      <c r="BP52" s="271"/>
      <c r="BQ52" s="271"/>
      <c r="BR52" s="271"/>
      <c r="BS52" s="271"/>
      <c r="BT52" s="271"/>
      <c r="BU52" s="271"/>
      <c r="BV52" s="271"/>
      <c r="BW52" s="271"/>
      <c r="BX52" s="477"/>
      <c r="BY52" s="477"/>
      <c r="BZ52" s="477"/>
      <c r="CA52" s="477"/>
      <c r="CB52" s="477"/>
      <c r="CC52" s="477"/>
      <c r="CD52" s="477"/>
      <c r="CE52" s="477"/>
      <c r="CF52" s="477"/>
      <c r="CG52" s="481"/>
    </row>
    <row r="53" customHeight="1" spans="2:85">
      <c r="B53" s="482" t="s">
        <v>16</v>
      </c>
      <c r="C53" s="483"/>
      <c r="D53" s="483"/>
      <c r="E53" s="483"/>
      <c r="F53" s="483"/>
      <c r="G53" s="483"/>
      <c r="H53" s="73" t="str">
        <f>VLOOKUP(B53,武技!$B$4:$H$60,2,0)</f>
        <v> </v>
      </c>
      <c r="I53" s="73"/>
      <c r="J53" s="73"/>
      <c r="K53" s="73"/>
      <c r="L53" s="73"/>
      <c r="M53" s="73" t="str">
        <f>VLOOKUP(B53,武技!$B$4:$H$60,3,0)</f>
        <v> </v>
      </c>
      <c r="N53" s="73"/>
      <c r="O53" s="73"/>
      <c r="P53" s="73" t="str">
        <f>VLOOKUP(B53,武技!$B$4:$H$60,4,0)</f>
        <v> </v>
      </c>
      <c r="Q53" s="73"/>
      <c r="R53" s="73" t="str">
        <f>VLOOKUP(B53,武技!$B$4:$H$60,5,0)</f>
        <v> </v>
      </c>
      <c r="S53" s="73"/>
      <c r="T53" s="484" t="s">
        <v>16</v>
      </c>
      <c r="U53" s="484"/>
      <c r="V53" s="484"/>
      <c r="W53" s="484"/>
      <c r="X53" s="484"/>
      <c r="Y53" s="484"/>
      <c r="Z53" s="484"/>
      <c r="AA53" s="484"/>
      <c r="AB53" s="484"/>
      <c r="AC53" s="484"/>
      <c r="AD53" s="484"/>
      <c r="AE53" s="484"/>
      <c r="AF53" s="484"/>
      <c r="AG53" s="484"/>
      <c r="AH53" s="261" t="str">
        <f>VLOOKUP(B53,武技!$B$4:$H$60,7,0)</f>
        <v> </v>
      </c>
      <c r="AI53" s="261"/>
      <c r="AJ53" s="261"/>
      <c r="AK53" s="261"/>
      <c r="AL53" s="261"/>
      <c r="AM53" s="261"/>
      <c r="AN53" s="261"/>
      <c r="AO53" s="261"/>
      <c r="AP53" s="261"/>
      <c r="AQ53" s="485"/>
      <c r="AR53" s="486" t="s">
        <v>16</v>
      </c>
      <c r="AS53" s="483"/>
      <c r="AT53" s="483"/>
      <c r="AU53" s="483"/>
      <c r="AV53" s="483"/>
      <c r="AW53" s="483"/>
      <c r="AX53" s="23" t="str">
        <f>VLOOKUP(AR53,术法!$B$4:$I$133,2,0)</f>
        <v> </v>
      </c>
      <c r="AY53" s="23"/>
      <c r="AZ53" s="23"/>
      <c r="BA53" s="23"/>
      <c r="BB53" s="23"/>
      <c r="BC53" s="23" t="str">
        <f>VLOOKUP(AR53,术法!$B$4:$I$133,3,0)</f>
        <v> </v>
      </c>
      <c r="BD53" s="23"/>
      <c r="BE53" s="23"/>
      <c r="BF53" s="73" t="str">
        <f>VLOOKUP(AR53,术法!$B$4:$I$133,4,0)</f>
        <v> </v>
      </c>
      <c r="BG53" s="73"/>
      <c r="BH53" s="73" t="str">
        <f>VLOOKUP(AR53,术法!$B$4:$I$133,5,0)</f>
        <v> </v>
      </c>
      <c r="BI53" s="73"/>
      <c r="BJ53" s="487" t="str">
        <f>VLOOKUP(AR53,术法!$B$4:$I$133,6,0)</f>
        <v> </v>
      </c>
      <c r="BK53" s="487"/>
      <c r="BL53" s="487"/>
      <c r="BM53" s="484"/>
      <c r="BN53" s="484"/>
      <c r="BO53" s="484"/>
      <c r="BP53" s="484"/>
      <c r="BQ53" s="484"/>
      <c r="BR53" s="484"/>
      <c r="BS53" s="484"/>
      <c r="BT53" s="484"/>
      <c r="BU53" s="484"/>
      <c r="BV53" s="484"/>
      <c r="BW53" s="484"/>
      <c r="BX53" s="261" t="str">
        <f>VLOOKUP(AR53,术法!$B$4:$I$133,8,0)</f>
        <v> </v>
      </c>
      <c r="BY53" s="261"/>
      <c r="BZ53" s="261"/>
      <c r="CA53" s="261"/>
      <c r="CB53" s="261"/>
      <c r="CC53" s="261"/>
      <c r="CD53" s="261"/>
      <c r="CE53" s="261"/>
      <c r="CF53" s="261"/>
      <c r="CG53" s="262"/>
    </row>
    <row r="54" customHeight="1" spans="2:85">
      <c r="B54" s="482"/>
      <c r="C54" s="483"/>
      <c r="D54" s="483"/>
      <c r="E54" s="483"/>
      <c r="F54" s="483"/>
      <c r="G54" s="483"/>
      <c r="H54" s="73"/>
      <c r="I54" s="73"/>
      <c r="J54" s="73"/>
      <c r="K54" s="73"/>
      <c r="L54" s="73"/>
      <c r="M54" s="73"/>
      <c r="N54" s="73"/>
      <c r="O54" s="73"/>
      <c r="P54" s="73"/>
      <c r="Q54" s="73"/>
      <c r="R54" s="73"/>
      <c r="S54" s="73"/>
      <c r="T54" s="484"/>
      <c r="U54" s="484"/>
      <c r="V54" s="484"/>
      <c r="W54" s="484"/>
      <c r="X54" s="484"/>
      <c r="Y54" s="484"/>
      <c r="Z54" s="484"/>
      <c r="AA54" s="484"/>
      <c r="AB54" s="484"/>
      <c r="AC54" s="484"/>
      <c r="AD54" s="484"/>
      <c r="AE54" s="484"/>
      <c r="AF54" s="484"/>
      <c r="AG54" s="484"/>
      <c r="AH54" s="261"/>
      <c r="AI54" s="261"/>
      <c r="AJ54" s="261"/>
      <c r="AK54" s="261"/>
      <c r="AL54" s="261"/>
      <c r="AM54" s="261"/>
      <c r="AN54" s="261"/>
      <c r="AO54" s="261"/>
      <c r="AP54" s="261"/>
      <c r="AQ54" s="485"/>
      <c r="AR54" s="486"/>
      <c r="AS54" s="483"/>
      <c r="AT54" s="483"/>
      <c r="AU54" s="483"/>
      <c r="AV54" s="483"/>
      <c r="AW54" s="483"/>
      <c r="AX54" s="23"/>
      <c r="AY54" s="23"/>
      <c r="AZ54" s="23"/>
      <c r="BA54" s="23"/>
      <c r="BB54" s="23"/>
      <c r="BC54" s="23"/>
      <c r="BD54" s="23"/>
      <c r="BE54" s="23"/>
      <c r="BF54" s="73"/>
      <c r="BG54" s="73"/>
      <c r="BH54" s="73"/>
      <c r="BI54" s="73"/>
      <c r="BJ54" s="487"/>
      <c r="BK54" s="487"/>
      <c r="BL54" s="487"/>
      <c r="BM54" s="484"/>
      <c r="BN54" s="484"/>
      <c r="BO54" s="484"/>
      <c r="BP54" s="484"/>
      <c r="BQ54" s="484"/>
      <c r="BR54" s="484"/>
      <c r="BS54" s="484"/>
      <c r="BT54" s="484"/>
      <c r="BU54" s="484"/>
      <c r="BV54" s="484"/>
      <c r="BW54" s="484"/>
      <c r="BX54" s="261"/>
      <c r="BY54" s="261"/>
      <c r="BZ54" s="261"/>
      <c r="CA54" s="261"/>
      <c r="CB54" s="261"/>
      <c r="CC54" s="261"/>
      <c r="CD54" s="261"/>
      <c r="CE54" s="261"/>
      <c r="CF54" s="261"/>
      <c r="CG54" s="262"/>
    </row>
    <row r="55" customHeight="1" spans="2:85">
      <c r="B55" s="127" t="s">
        <v>16</v>
      </c>
      <c r="C55" s="287"/>
      <c r="D55" s="287"/>
      <c r="E55" s="287"/>
      <c r="F55" s="287"/>
      <c r="G55" s="287"/>
      <c r="H55" s="71" t="str">
        <f>VLOOKUP(B55,武技!$B$4:$H$60,2,0)</f>
        <v> </v>
      </c>
      <c r="I55" s="71"/>
      <c r="J55" s="71"/>
      <c r="K55" s="71"/>
      <c r="L55" s="71"/>
      <c r="M55" s="71" t="str">
        <f>VLOOKUP(B55,武技!$B$4:$H$60,3,0)</f>
        <v> </v>
      </c>
      <c r="N55" s="71"/>
      <c r="O55" s="71"/>
      <c r="P55" s="71" t="str">
        <f>VLOOKUP(B55,武技!$B$4:$H$60,4,0)</f>
        <v> </v>
      </c>
      <c r="Q55" s="71"/>
      <c r="R55" s="71" t="str">
        <f>VLOOKUP(B55,武技!$B$4:$H$60,5,0)</f>
        <v> </v>
      </c>
      <c r="S55" s="71"/>
      <c r="T55" s="271" t="s">
        <v>16</v>
      </c>
      <c r="U55" s="271"/>
      <c r="V55" s="271"/>
      <c r="W55" s="271"/>
      <c r="X55" s="271"/>
      <c r="Y55" s="271"/>
      <c r="Z55" s="271"/>
      <c r="AA55" s="271"/>
      <c r="AB55" s="271"/>
      <c r="AC55" s="271"/>
      <c r="AD55" s="271"/>
      <c r="AE55" s="271"/>
      <c r="AF55" s="271"/>
      <c r="AG55" s="271"/>
      <c r="AH55" s="477" t="str">
        <f>VLOOKUP(B55,武技!$B$4:$H$60,7,0)</f>
        <v> </v>
      </c>
      <c r="AI55" s="477"/>
      <c r="AJ55" s="477"/>
      <c r="AK55" s="477"/>
      <c r="AL55" s="477"/>
      <c r="AM55" s="477"/>
      <c r="AN55" s="477"/>
      <c r="AO55" s="477"/>
      <c r="AP55" s="477"/>
      <c r="AQ55" s="478"/>
      <c r="AR55" s="479" t="s">
        <v>16</v>
      </c>
      <c r="AS55" s="287"/>
      <c r="AT55" s="287"/>
      <c r="AU55" s="287"/>
      <c r="AV55" s="287"/>
      <c r="AW55" s="287"/>
      <c r="AX55" s="15" t="str">
        <f>VLOOKUP(AR55,术法!$B$4:$I$133,2,0)</f>
        <v> </v>
      </c>
      <c r="AY55" s="15"/>
      <c r="AZ55" s="15"/>
      <c r="BA55" s="15"/>
      <c r="BB55" s="15"/>
      <c r="BC55" s="15" t="str">
        <f>VLOOKUP(AR55,术法!$B$4:$I$133,3,0)</f>
        <v> </v>
      </c>
      <c r="BD55" s="15"/>
      <c r="BE55" s="15"/>
      <c r="BF55" s="71" t="str">
        <f>VLOOKUP(AR55,术法!$B$4:$I$133,4,0)</f>
        <v> </v>
      </c>
      <c r="BG55" s="71"/>
      <c r="BH55" s="71" t="str">
        <f>VLOOKUP(AR55,术法!$B$4:$I$133,5,0)</f>
        <v> </v>
      </c>
      <c r="BI55" s="71"/>
      <c r="BJ55" s="480" t="str">
        <f>VLOOKUP(AR55,术法!$B$4:$I$133,6,0)</f>
        <v> </v>
      </c>
      <c r="BK55" s="480"/>
      <c r="BL55" s="480"/>
      <c r="BM55" s="271"/>
      <c r="BN55" s="271"/>
      <c r="BO55" s="271"/>
      <c r="BP55" s="271"/>
      <c r="BQ55" s="271"/>
      <c r="BR55" s="271"/>
      <c r="BS55" s="271"/>
      <c r="BT55" s="271"/>
      <c r="BU55" s="271"/>
      <c r="BV55" s="271"/>
      <c r="BW55" s="271"/>
      <c r="BX55" s="477" t="str">
        <f>VLOOKUP(AR55,术法!$B$4:$I$133,8,0)</f>
        <v> </v>
      </c>
      <c r="BY55" s="477"/>
      <c r="BZ55" s="477"/>
      <c r="CA55" s="477"/>
      <c r="CB55" s="477"/>
      <c r="CC55" s="477"/>
      <c r="CD55" s="477"/>
      <c r="CE55" s="477"/>
      <c r="CF55" s="477"/>
      <c r="CG55" s="481"/>
    </row>
    <row r="56" customHeight="1" spans="2:85">
      <c r="B56" s="127"/>
      <c r="C56" s="287"/>
      <c r="D56" s="287"/>
      <c r="E56" s="287"/>
      <c r="F56" s="287"/>
      <c r="G56" s="287"/>
      <c r="H56" s="71"/>
      <c r="I56" s="71"/>
      <c r="J56" s="71"/>
      <c r="K56" s="71"/>
      <c r="L56" s="71"/>
      <c r="M56" s="71"/>
      <c r="N56" s="71"/>
      <c r="O56" s="71"/>
      <c r="P56" s="71"/>
      <c r="Q56" s="71"/>
      <c r="R56" s="71"/>
      <c r="S56" s="71"/>
      <c r="T56" s="271"/>
      <c r="U56" s="271"/>
      <c r="V56" s="271"/>
      <c r="W56" s="271"/>
      <c r="X56" s="271"/>
      <c r="Y56" s="271"/>
      <c r="Z56" s="271"/>
      <c r="AA56" s="271"/>
      <c r="AB56" s="271"/>
      <c r="AC56" s="271"/>
      <c r="AD56" s="271"/>
      <c r="AE56" s="271"/>
      <c r="AF56" s="271"/>
      <c r="AG56" s="271"/>
      <c r="AH56" s="477"/>
      <c r="AI56" s="477"/>
      <c r="AJ56" s="477"/>
      <c r="AK56" s="477"/>
      <c r="AL56" s="477"/>
      <c r="AM56" s="477"/>
      <c r="AN56" s="477"/>
      <c r="AO56" s="477"/>
      <c r="AP56" s="477"/>
      <c r="AQ56" s="478"/>
      <c r="AR56" s="479"/>
      <c r="AS56" s="287"/>
      <c r="AT56" s="287"/>
      <c r="AU56" s="287"/>
      <c r="AV56" s="287"/>
      <c r="AW56" s="287"/>
      <c r="AX56" s="15"/>
      <c r="AY56" s="15"/>
      <c r="AZ56" s="15"/>
      <c r="BA56" s="15"/>
      <c r="BB56" s="15"/>
      <c r="BC56" s="15"/>
      <c r="BD56" s="15"/>
      <c r="BE56" s="15"/>
      <c r="BF56" s="71"/>
      <c r="BG56" s="71"/>
      <c r="BH56" s="71"/>
      <c r="BI56" s="71"/>
      <c r="BJ56" s="480"/>
      <c r="BK56" s="480"/>
      <c r="BL56" s="480"/>
      <c r="BM56" s="271"/>
      <c r="BN56" s="271"/>
      <c r="BO56" s="271"/>
      <c r="BP56" s="271"/>
      <c r="BQ56" s="271"/>
      <c r="BR56" s="271"/>
      <c r="BS56" s="271"/>
      <c r="BT56" s="271"/>
      <c r="BU56" s="271"/>
      <c r="BV56" s="271"/>
      <c r="BW56" s="271"/>
      <c r="BX56" s="477"/>
      <c r="BY56" s="477"/>
      <c r="BZ56" s="477"/>
      <c r="CA56" s="477"/>
      <c r="CB56" s="477"/>
      <c r="CC56" s="477"/>
      <c r="CD56" s="477"/>
      <c r="CE56" s="477"/>
      <c r="CF56" s="477"/>
      <c r="CG56" s="481"/>
    </row>
    <row r="57" customHeight="1" spans="2:85">
      <c r="B57" s="482" t="s">
        <v>16</v>
      </c>
      <c r="C57" s="483"/>
      <c r="D57" s="483"/>
      <c r="E57" s="483"/>
      <c r="F57" s="483"/>
      <c r="G57" s="483"/>
      <c r="H57" s="73" t="str">
        <f>VLOOKUP(B57,武技!$B$4:$H$60,2,0)</f>
        <v> </v>
      </c>
      <c r="I57" s="73"/>
      <c r="J57" s="73"/>
      <c r="K57" s="73"/>
      <c r="L57" s="73"/>
      <c r="M57" s="73" t="str">
        <f>VLOOKUP(B57,武技!$B$4:$H$60,3,0)</f>
        <v> </v>
      </c>
      <c r="N57" s="73"/>
      <c r="O57" s="73"/>
      <c r="P57" s="73" t="str">
        <f>VLOOKUP(B57,武技!$B$4:$H$60,4,0)</f>
        <v> </v>
      </c>
      <c r="Q57" s="73"/>
      <c r="R57" s="73" t="str">
        <f>VLOOKUP(B57,武技!$B$4:$H$60,5,0)</f>
        <v> </v>
      </c>
      <c r="S57" s="73"/>
      <c r="T57" s="484" t="s">
        <v>16</v>
      </c>
      <c r="U57" s="484"/>
      <c r="V57" s="484"/>
      <c r="W57" s="484"/>
      <c r="X57" s="484"/>
      <c r="Y57" s="484"/>
      <c r="Z57" s="484"/>
      <c r="AA57" s="484"/>
      <c r="AB57" s="484"/>
      <c r="AC57" s="484"/>
      <c r="AD57" s="484"/>
      <c r="AE57" s="484"/>
      <c r="AF57" s="484"/>
      <c r="AG57" s="484"/>
      <c r="AH57" s="261" t="str">
        <f>VLOOKUP(B57,武技!$B$4:$H$60,7,0)</f>
        <v> </v>
      </c>
      <c r="AI57" s="261"/>
      <c r="AJ57" s="261"/>
      <c r="AK57" s="261"/>
      <c r="AL57" s="261"/>
      <c r="AM57" s="261"/>
      <c r="AN57" s="261"/>
      <c r="AO57" s="261"/>
      <c r="AP57" s="261"/>
      <c r="AQ57" s="485"/>
      <c r="AR57" s="486" t="s">
        <v>16</v>
      </c>
      <c r="AS57" s="483"/>
      <c r="AT57" s="483"/>
      <c r="AU57" s="483"/>
      <c r="AV57" s="483"/>
      <c r="AW57" s="483"/>
      <c r="AX57" s="23" t="str">
        <f>VLOOKUP(AR57,术法!$B$4:$I$133,2,0)</f>
        <v> </v>
      </c>
      <c r="AY57" s="23"/>
      <c r="AZ57" s="23"/>
      <c r="BA57" s="23"/>
      <c r="BB57" s="23"/>
      <c r="BC57" s="23" t="str">
        <f>VLOOKUP(AR57,术法!$B$4:$I$133,3,0)</f>
        <v> </v>
      </c>
      <c r="BD57" s="23"/>
      <c r="BE57" s="23"/>
      <c r="BF57" s="73" t="str">
        <f>VLOOKUP(AR57,术法!$B$4:$I$133,4,0)</f>
        <v> </v>
      </c>
      <c r="BG57" s="73"/>
      <c r="BH57" s="73" t="str">
        <f>VLOOKUP(AR57,术法!$B$4:$I$133,5,0)</f>
        <v> </v>
      </c>
      <c r="BI57" s="73"/>
      <c r="BJ57" s="487" t="str">
        <f>VLOOKUP(AR57,术法!$B$4:$I$133,6,0)</f>
        <v> </v>
      </c>
      <c r="BK57" s="487"/>
      <c r="BL57" s="487"/>
      <c r="BM57" s="484"/>
      <c r="BN57" s="484"/>
      <c r="BO57" s="484"/>
      <c r="BP57" s="484"/>
      <c r="BQ57" s="484"/>
      <c r="BR57" s="484"/>
      <c r="BS57" s="484"/>
      <c r="BT57" s="484"/>
      <c r="BU57" s="484"/>
      <c r="BV57" s="484"/>
      <c r="BW57" s="484"/>
      <c r="BX57" s="261" t="str">
        <f>VLOOKUP(AR57,术法!$B$4:$I$133,8,0)</f>
        <v> </v>
      </c>
      <c r="BY57" s="261"/>
      <c r="BZ57" s="261"/>
      <c r="CA57" s="261"/>
      <c r="CB57" s="261"/>
      <c r="CC57" s="261"/>
      <c r="CD57" s="261"/>
      <c r="CE57" s="261"/>
      <c r="CF57" s="261"/>
      <c r="CG57" s="262"/>
    </row>
    <row r="58" customHeight="1" spans="2:85">
      <c r="B58" s="482"/>
      <c r="C58" s="483"/>
      <c r="D58" s="483"/>
      <c r="E58" s="483"/>
      <c r="F58" s="483"/>
      <c r="G58" s="483"/>
      <c r="H58" s="73"/>
      <c r="I58" s="73"/>
      <c r="J58" s="73"/>
      <c r="K58" s="73"/>
      <c r="L58" s="73"/>
      <c r="M58" s="73"/>
      <c r="N58" s="73"/>
      <c r="O58" s="73"/>
      <c r="P58" s="73"/>
      <c r="Q58" s="73"/>
      <c r="R58" s="73"/>
      <c r="S58" s="73"/>
      <c r="T58" s="484"/>
      <c r="U58" s="484"/>
      <c r="V58" s="484"/>
      <c r="W58" s="484"/>
      <c r="X58" s="484"/>
      <c r="Y58" s="484"/>
      <c r="Z58" s="484"/>
      <c r="AA58" s="484"/>
      <c r="AB58" s="484"/>
      <c r="AC58" s="484"/>
      <c r="AD58" s="484"/>
      <c r="AE58" s="484"/>
      <c r="AF58" s="484"/>
      <c r="AG58" s="484"/>
      <c r="AH58" s="261"/>
      <c r="AI58" s="261"/>
      <c r="AJ58" s="261"/>
      <c r="AK58" s="261"/>
      <c r="AL58" s="261"/>
      <c r="AM58" s="261"/>
      <c r="AN58" s="261"/>
      <c r="AO58" s="261"/>
      <c r="AP58" s="261"/>
      <c r="AQ58" s="485"/>
      <c r="AR58" s="486"/>
      <c r="AS58" s="483"/>
      <c r="AT58" s="483"/>
      <c r="AU58" s="483"/>
      <c r="AV58" s="483"/>
      <c r="AW58" s="483"/>
      <c r="AX58" s="23"/>
      <c r="AY58" s="23"/>
      <c r="AZ58" s="23"/>
      <c r="BA58" s="23"/>
      <c r="BB58" s="23"/>
      <c r="BC58" s="23"/>
      <c r="BD58" s="23"/>
      <c r="BE58" s="23"/>
      <c r="BF58" s="73"/>
      <c r="BG58" s="73"/>
      <c r="BH58" s="73"/>
      <c r="BI58" s="73"/>
      <c r="BJ58" s="487"/>
      <c r="BK58" s="487"/>
      <c r="BL58" s="487"/>
      <c r="BM58" s="484"/>
      <c r="BN58" s="484"/>
      <c r="BO58" s="484"/>
      <c r="BP58" s="484"/>
      <c r="BQ58" s="484"/>
      <c r="BR58" s="484"/>
      <c r="BS58" s="484"/>
      <c r="BT58" s="484"/>
      <c r="BU58" s="484"/>
      <c r="BV58" s="484"/>
      <c r="BW58" s="484"/>
      <c r="BX58" s="261"/>
      <c r="BY58" s="261"/>
      <c r="BZ58" s="261"/>
      <c r="CA58" s="261"/>
      <c r="CB58" s="261"/>
      <c r="CC58" s="261"/>
      <c r="CD58" s="261"/>
      <c r="CE58" s="261"/>
      <c r="CF58" s="261"/>
      <c r="CG58" s="262"/>
    </row>
    <row r="59" customHeight="1" spans="2:85">
      <c r="B59" s="127" t="s">
        <v>16</v>
      </c>
      <c r="C59" s="287"/>
      <c r="D59" s="287"/>
      <c r="E59" s="287"/>
      <c r="F59" s="287"/>
      <c r="G59" s="287"/>
      <c r="H59" s="71" t="str">
        <f>VLOOKUP(B59,武技!$B$4:$H$60,2,0)</f>
        <v> </v>
      </c>
      <c r="I59" s="71"/>
      <c r="J59" s="71"/>
      <c r="K59" s="71"/>
      <c r="L59" s="71"/>
      <c r="M59" s="71" t="str">
        <f>VLOOKUP(B59,武技!$B$4:$H$60,3,0)</f>
        <v> </v>
      </c>
      <c r="N59" s="71"/>
      <c r="O59" s="71"/>
      <c r="P59" s="71" t="str">
        <f>VLOOKUP(B59,武技!$B$4:$H$60,4,0)</f>
        <v> </v>
      </c>
      <c r="Q59" s="71"/>
      <c r="R59" s="71" t="str">
        <f>VLOOKUP(B59,武技!$B$4:$H$60,5,0)</f>
        <v> </v>
      </c>
      <c r="S59" s="71"/>
      <c r="T59" s="271" t="s">
        <v>16</v>
      </c>
      <c r="U59" s="271"/>
      <c r="V59" s="271"/>
      <c r="W59" s="271"/>
      <c r="X59" s="271"/>
      <c r="Y59" s="271"/>
      <c r="Z59" s="271"/>
      <c r="AA59" s="271"/>
      <c r="AB59" s="271"/>
      <c r="AC59" s="271"/>
      <c r="AD59" s="271"/>
      <c r="AE59" s="271"/>
      <c r="AF59" s="271"/>
      <c r="AG59" s="271"/>
      <c r="AH59" s="477" t="str">
        <f>VLOOKUP(B59,武技!$B$4:$H$60,7,0)</f>
        <v> </v>
      </c>
      <c r="AI59" s="477"/>
      <c r="AJ59" s="477"/>
      <c r="AK59" s="477"/>
      <c r="AL59" s="477"/>
      <c r="AM59" s="477"/>
      <c r="AN59" s="477"/>
      <c r="AO59" s="477"/>
      <c r="AP59" s="477"/>
      <c r="AQ59" s="478"/>
      <c r="AR59" s="479" t="s">
        <v>16</v>
      </c>
      <c r="AS59" s="287"/>
      <c r="AT59" s="287"/>
      <c r="AU59" s="287"/>
      <c r="AV59" s="287"/>
      <c r="AW59" s="287"/>
      <c r="AX59" s="15" t="str">
        <f>VLOOKUP(AR59,术法!$B$4:$I$133,2,0)</f>
        <v> </v>
      </c>
      <c r="AY59" s="15"/>
      <c r="AZ59" s="15"/>
      <c r="BA59" s="15"/>
      <c r="BB59" s="15"/>
      <c r="BC59" s="15" t="str">
        <f>VLOOKUP(AR59,术法!$B$4:$I$133,3,0)</f>
        <v> </v>
      </c>
      <c r="BD59" s="15"/>
      <c r="BE59" s="15"/>
      <c r="BF59" s="71" t="str">
        <f>VLOOKUP(AR59,术法!$B$4:$I$133,4,0)</f>
        <v> </v>
      </c>
      <c r="BG59" s="71"/>
      <c r="BH59" s="71" t="str">
        <f>VLOOKUP(AR59,术法!$B$4:$I$133,5,0)</f>
        <v> </v>
      </c>
      <c r="BI59" s="71"/>
      <c r="BJ59" s="480" t="str">
        <f>VLOOKUP(AR59,术法!$B$4:$I$133,6,0)</f>
        <v> </v>
      </c>
      <c r="BK59" s="480"/>
      <c r="BL59" s="480"/>
      <c r="BM59" s="271"/>
      <c r="BN59" s="271"/>
      <c r="BO59" s="271"/>
      <c r="BP59" s="271"/>
      <c r="BQ59" s="271"/>
      <c r="BR59" s="271"/>
      <c r="BS59" s="271"/>
      <c r="BT59" s="271"/>
      <c r="BU59" s="271"/>
      <c r="BV59" s="271"/>
      <c r="BW59" s="271"/>
      <c r="BX59" s="477" t="str">
        <f>VLOOKUP(AR59,术法!$B$4:$I$133,8,0)</f>
        <v> </v>
      </c>
      <c r="BY59" s="477"/>
      <c r="BZ59" s="477"/>
      <c r="CA59" s="477"/>
      <c r="CB59" s="477"/>
      <c r="CC59" s="477"/>
      <c r="CD59" s="477"/>
      <c r="CE59" s="477"/>
      <c r="CF59" s="477"/>
      <c r="CG59" s="481"/>
    </row>
    <row r="60" customHeight="1" spans="2:85">
      <c r="B60" s="127"/>
      <c r="C60" s="287"/>
      <c r="D60" s="287"/>
      <c r="E60" s="287"/>
      <c r="F60" s="287"/>
      <c r="G60" s="287"/>
      <c r="H60" s="71"/>
      <c r="I60" s="71"/>
      <c r="J60" s="71"/>
      <c r="K60" s="71"/>
      <c r="L60" s="71"/>
      <c r="M60" s="71"/>
      <c r="N60" s="71"/>
      <c r="O60" s="71"/>
      <c r="P60" s="71"/>
      <c r="Q60" s="71"/>
      <c r="R60" s="71"/>
      <c r="S60" s="71"/>
      <c r="T60" s="271"/>
      <c r="U60" s="271"/>
      <c r="V60" s="271"/>
      <c r="W60" s="271"/>
      <c r="X60" s="271"/>
      <c r="Y60" s="271"/>
      <c r="Z60" s="271"/>
      <c r="AA60" s="271"/>
      <c r="AB60" s="271"/>
      <c r="AC60" s="271"/>
      <c r="AD60" s="271"/>
      <c r="AE60" s="271"/>
      <c r="AF60" s="271"/>
      <c r="AG60" s="271"/>
      <c r="AH60" s="477"/>
      <c r="AI60" s="477"/>
      <c r="AJ60" s="477"/>
      <c r="AK60" s="477"/>
      <c r="AL60" s="477"/>
      <c r="AM60" s="477"/>
      <c r="AN60" s="477"/>
      <c r="AO60" s="477"/>
      <c r="AP60" s="477"/>
      <c r="AQ60" s="478"/>
      <c r="AR60" s="479"/>
      <c r="AS60" s="287"/>
      <c r="AT60" s="287"/>
      <c r="AU60" s="287"/>
      <c r="AV60" s="287"/>
      <c r="AW60" s="287"/>
      <c r="AX60" s="15"/>
      <c r="AY60" s="15"/>
      <c r="AZ60" s="15"/>
      <c r="BA60" s="15"/>
      <c r="BB60" s="15"/>
      <c r="BC60" s="15"/>
      <c r="BD60" s="15"/>
      <c r="BE60" s="15"/>
      <c r="BF60" s="71"/>
      <c r="BG60" s="71"/>
      <c r="BH60" s="71"/>
      <c r="BI60" s="71"/>
      <c r="BJ60" s="480"/>
      <c r="BK60" s="480"/>
      <c r="BL60" s="480"/>
      <c r="BM60" s="271"/>
      <c r="BN60" s="271"/>
      <c r="BO60" s="271"/>
      <c r="BP60" s="271"/>
      <c r="BQ60" s="271"/>
      <c r="BR60" s="271"/>
      <c r="BS60" s="271"/>
      <c r="BT60" s="271"/>
      <c r="BU60" s="271"/>
      <c r="BV60" s="271"/>
      <c r="BW60" s="271"/>
      <c r="BX60" s="477"/>
      <c r="BY60" s="477"/>
      <c r="BZ60" s="477"/>
      <c r="CA60" s="477"/>
      <c r="CB60" s="477"/>
      <c r="CC60" s="477"/>
      <c r="CD60" s="477"/>
      <c r="CE60" s="477"/>
      <c r="CF60" s="477"/>
      <c r="CG60" s="481"/>
    </row>
    <row r="61" customHeight="1" spans="2:85">
      <c r="B61" s="482" t="s">
        <v>16</v>
      </c>
      <c r="C61" s="483"/>
      <c r="D61" s="483"/>
      <c r="E61" s="483"/>
      <c r="F61" s="483"/>
      <c r="G61" s="483"/>
      <c r="H61" s="73" t="str">
        <f>VLOOKUP(B61,武技!$B$4:$H$60,2,0)</f>
        <v> </v>
      </c>
      <c r="I61" s="73"/>
      <c r="J61" s="73"/>
      <c r="K61" s="73"/>
      <c r="L61" s="73"/>
      <c r="M61" s="73" t="str">
        <f>VLOOKUP(B61,武技!$B$4:$H$60,3,0)</f>
        <v> </v>
      </c>
      <c r="N61" s="73"/>
      <c r="O61" s="73"/>
      <c r="P61" s="73" t="str">
        <f>VLOOKUP(B61,武技!$B$4:$H$60,4,0)</f>
        <v> </v>
      </c>
      <c r="Q61" s="73"/>
      <c r="R61" s="73" t="str">
        <f>VLOOKUP(B61,武技!$B$4:$H$60,5,0)</f>
        <v> </v>
      </c>
      <c r="S61" s="73"/>
      <c r="T61" s="484" t="s">
        <v>16</v>
      </c>
      <c r="U61" s="484"/>
      <c r="V61" s="484"/>
      <c r="W61" s="484"/>
      <c r="X61" s="484"/>
      <c r="Y61" s="484"/>
      <c r="Z61" s="484"/>
      <c r="AA61" s="484"/>
      <c r="AB61" s="484"/>
      <c r="AC61" s="484"/>
      <c r="AD61" s="484"/>
      <c r="AE61" s="484"/>
      <c r="AF61" s="484"/>
      <c r="AG61" s="484"/>
      <c r="AH61" s="261" t="str">
        <f>VLOOKUP(B61,武技!$B$4:$H$60,7,0)</f>
        <v> </v>
      </c>
      <c r="AI61" s="261"/>
      <c r="AJ61" s="261"/>
      <c r="AK61" s="261"/>
      <c r="AL61" s="261"/>
      <c r="AM61" s="261"/>
      <c r="AN61" s="261"/>
      <c r="AO61" s="261"/>
      <c r="AP61" s="261"/>
      <c r="AQ61" s="485"/>
      <c r="AR61" s="486" t="s">
        <v>16</v>
      </c>
      <c r="AS61" s="483"/>
      <c r="AT61" s="483"/>
      <c r="AU61" s="483"/>
      <c r="AV61" s="483"/>
      <c r="AW61" s="483"/>
      <c r="AX61" s="23" t="str">
        <f>VLOOKUP(AR61,术法!$B$4:$I$133,2,0)</f>
        <v> </v>
      </c>
      <c r="AY61" s="23"/>
      <c r="AZ61" s="23"/>
      <c r="BA61" s="23"/>
      <c r="BB61" s="23"/>
      <c r="BC61" s="23" t="str">
        <f>VLOOKUP(AR61,术法!$B$4:$I$133,3,0)</f>
        <v> </v>
      </c>
      <c r="BD61" s="23"/>
      <c r="BE61" s="23"/>
      <c r="BF61" s="73" t="str">
        <f>VLOOKUP(AR61,术法!$B$4:$I$133,4,0)</f>
        <v> </v>
      </c>
      <c r="BG61" s="73"/>
      <c r="BH61" s="73" t="str">
        <f>VLOOKUP(AR61,术法!$B$4:$I$133,5,0)</f>
        <v> </v>
      </c>
      <c r="BI61" s="73"/>
      <c r="BJ61" s="487" t="str">
        <f>VLOOKUP(AR61,术法!$B$4:$I$133,6,0)</f>
        <v> </v>
      </c>
      <c r="BK61" s="487"/>
      <c r="BL61" s="487"/>
      <c r="BM61" s="484"/>
      <c r="BN61" s="484"/>
      <c r="BO61" s="484"/>
      <c r="BP61" s="484"/>
      <c r="BQ61" s="484"/>
      <c r="BR61" s="484"/>
      <c r="BS61" s="484"/>
      <c r="BT61" s="484"/>
      <c r="BU61" s="484"/>
      <c r="BV61" s="484"/>
      <c r="BW61" s="484"/>
      <c r="BX61" s="261" t="str">
        <f>VLOOKUP(AR61,术法!$B$4:$I$133,8,0)</f>
        <v> </v>
      </c>
      <c r="BY61" s="261"/>
      <c r="BZ61" s="261"/>
      <c r="CA61" s="261"/>
      <c r="CB61" s="261"/>
      <c r="CC61" s="261"/>
      <c r="CD61" s="261"/>
      <c r="CE61" s="261"/>
      <c r="CF61" s="261"/>
      <c r="CG61" s="262"/>
    </row>
    <row r="62" customHeight="1" spans="2:85">
      <c r="B62" s="482"/>
      <c r="C62" s="483"/>
      <c r="D62" s="483"/>
      <c r="E62" s="483"/>
      <c r="F62" s="483"/>
      <c r="G62" s="483"/>
      <c r="H62" s="73"/>
      <c r="I62" s="73"/>
      <c r="J62" s="73"/>
      <c r="K62" s="73"/>
      <c r="L62" s="73"/>
      <c r="M62" s="73"/>
      <c r="N62" s="73"/>
      <c r="O62" s="73"/>
      <c r="P62" s="73"/>
      <c r="Q62" s="73"/>
      <c r="R62" s="73"/>
      <c r="S62" s="73"/>
      <c r="T62" s="484"/>
      <c r="U62" s="484"/>
      <c r="V62" s="484"/>
      <c r="W62" s="484"/>
      <c r="X62" s="484"/>
      <c r="Y62" s="484"/>
      <c r="Z62" s="484"/>
      <c r="AA62" s="484"/>
      <c r="AB62" s="484"/>
      <c r="AC62" s="484"/>
      <c r="AD62" s="484"/>
      <c r="AE62" s="484"/>
      <c r="AF62" s="484"/>
      <c r="AG62" s="484"/>
      <c r="AH62" s="261"/>
      <c r="AI62" s="261"/>
      <c r="AJ62" s="261"/>
      <c r="AK62" s="261"/>
      <c r="AL62" s="261"/>
      <c r="AM62" s="261"/>
      <c r="AN62" s="261"/>
      <c r="AO62" s="261"/>
      <c r="AP62" s="261"/>
      <c r="AQ62" s="485"/>
      <c r="AR62" s="486"/>
      <c r="AS62" s="483"/>
      <c r="AT62" s="483"/>
      <c r="AU62" s="483"/>
      <c r="AV62" s="483"/>
      <c r="AW62" s="483"/>
      <c r="AX62" s="23"/>
      <c r="AY62" s="23"/>
      <c r="AZ62" s="23"/>
      <c r="BA62" s="23"/>
      <c r="BB62" s="23"/>
      <c r="BC62" s="23"/>
      <c r="BD62" s="23"/>
      <c r="BE62" s="23"/>
      <c r="BF62" s="73"/>
      <c r="BG62" s="73"/>
      <c r="BH62" s="73"/>
      <c r="BI62" s="73"/>
      <c r="BJ62" s="487"/>
      <c r="BK62" s="487"/>
      <c r="BL62" s="487"/>
      <c r="BM62" s="484"/>
      <c r="BN62" s="484"/>
      <c r="BO62" s="484"/>
      <c r="BP62" s="484"/>
      <c r="BQ62" s="484"/>
      <c r="BR62" s="484"/>
      <c r="BS62" s="484"/>
      <c r="BT62" s="484"/>
      <c r="BU62" s="484"/>
      <c r="BV62" s="484"/>
      <c r="BW62" s="484"/>
      <c r="BX62" s="261"/>
      <c r="BY62" s="261"/>
      <c r="BZ62" s="261"/>
      <c r="CA62" s="261"/>
      <c r="CB62" s="261"/>
      <c r="CC62" s="261"/>
      <c r="CD62" s="261"/>
      <c r="CE62" s="261"/>
      <c r="CF62" s="261"/>
      <c r="CG62" s="262"/>
    </row>
    <row r="63" customHeight="1" spans="2:85">
      <c r="B63" s="127" t="s">
        <v>16</v>
      </c>
      <c r="C63" s="287"/>
      <c r="D63" s="287"/>
      <c r="E63" s="287"/>
      <c r="F63" s="287"/>
      <c r="G63" s="287"/>
      <c r="H63" s="71" t="str">
        <f>VLOOKUP(B63,武技!$B$4:$H$60,2,0)</f>
        <v> </v>
      </c>
      <c r="I63" s="71"/>
      <c r="J63" s="71"/>
      <c r="K63" s="71"/>
      <c r="L63" s="71"/>
      <c r="M63" s="71" t="str">
        <f>VLOOKUP(B63,武技!$B$4:$H$60,3,0)</f>
        <v> </v>
      </c>
      <c r="N63" s="71"/>
      <c r="O63" s="71"/>
      <c r="P63" s="71" t="str">
        <f>VLOOKUP(B63,武技!$B$4:$H$60,4,0)</f>
        <v> </v>
      </c>
      <c r="Q63" s="71"/>
      <c r="R63" s="71" t="str">
        <f>VLOOKUP(B63,武技!$B$4:$H$60,5,0)</f>
        <v> </v>
      </c>
      <c r="S63" s="71"/>
      <c r="T63" s="271" t="s">
        <v>16</v>
      </c>
      <c r="U63" s="271"/>
      <c r="V63" s="271"/>
      <c r="W63" s="271"/>
      <c r="X63" s="271"/>
      <c r="Y63" s="271"/>
      <c r="Z63" s="271"/>
      <c r="AA63" s="271"/>
      <c r="AB63" s="271"/>
      <c r="AC63" s="271"/>
      <c r="AD63" s="271"/>
      <c r="AE63" s="271"/>
      <c r="AF63" s="271"/>
      <c r="AG63" s="271"/>
      <c r="AH63" s="477" t="str">
        <f>VLOOKUP(B63,武技!$B$4:$H$60,7,0)</f>
        <v> </v>
      </c>
      <c r="AI63" s="477"/>
      <c r="AJ63" s="477"/>
      <c r="AK63" s="477"/>
      <c r="AL63" s="477"/>
      <c r="AM63" s="477"/>
      <c r="AN63" s="477"/>
      <c r="AO63" s="477"/>
      <c r="AP63" s="477"/>
      <c r="AQ63" s="478"/>
      <c r="AR63" s="479" t="s">
        <v>16</v>
      </c>
      <c r="AS63" s="287"/>
      <c r="AT63" s="287"/>
      <c r="AU63" s="287"/>
      <c r="AV63" s="287"/>
      <c r="AW63" s="287"/>
      <c r="AX63" s="15" t="str">
        <f>VLOOKUP(AR63,术法!$B$4:$I$133,2,0)</f>
        <v> </v>
      </c>
      <c r="AY63" s="15"/>
      <c r="AZ63" s="15"/>
      <c r="BA63" s="15"/>
      <c r="BB63" s="15"/>
      <c r="BC63" s="15" t="str">
        <f>VLOOKUP(AR63,术法!$B$4:$I$133,3,0)</f>
        <v> </v>
      </c>
      <c r="BD63" s="15"/>
      <c r="BE63" s="15"/>
      <c r="BF63" s="71" t="str">
        <f>VLOOKUP(AR63,术法!$B$4:$I$133,4,0)</f>
        <v> </v>
      </c>
      <c r="BG63" s="71"/>
      <c r="BH63" s="71" t="str">
        <f>VLOOKUP(AR63,术法!$B$4:$I$133,5,0)</f>
        <v> </v>
      </c>
      <c r="BI63" s="71"/>
      <c r="BJ63" s="480" t="str">
        <f>VLOOKUP(AR63,术法!$B$4:$I$133,6,0)</f>
        <v> </v>
      </c>
      <c r="BK63" s="480"/>
      <c r="BL63" s="480"/>
      <c r="BM63" s="271"/>
      <c r="BN63" s="271"/>
      <c r="BO63" s="271"/>
      <c r="BP63" s="271"/>
      <c r="BQ63" s="271"/>
      <c r="BR63" s="271"/>
      <c r="BS63" s="271"/>
      <c r="BT63" s="271"/>
      <c r="BU63" s="271"/>
      <c r="BV63" s="271"/>
      <c r="BW63" s="271"/>
      <c r="BX63" s="477" t="str">
        <f>VLOOKUP(AR63,术法!$B$4:$I$133,8,0)</f>
        <v> </v>
      </c>
      <c r="BY63" s="477"/>
      <c r="BZ63" s="477"/>
      <c r="CA63" s="477"/>
      <c r="CB63" s="477"/>
      <c r="CC63" s="477"/>
      <c r="CD63" s="477"/>
      <c r="CE63" s="477"/>
      <c r="CF63" s="477"/>
      <c r="CG63" s="481"/>
    </row>
    <row r="64" customHeight="1" spans="2:85">
      <c r="B64" s="127"/>
      <c r="C64" s="287"/>
      <c r="D64" s="287"/>
      <c r="E64" s="287"/>
      <c r="F64" s="287"/>
      <c r="G64" s="287"/>
      <c r="H64" s="71"/>
      <c r="I64" s="71"/>
      <c r="J64" s="71"/>
      <c r="K64" s="71"/>
      <c r="L64" s="71"/>
      <c r="M64" s="71"/>
      <c r="N64" s="71"/>
      <c r="O64" s="71"/>
      <c r="P64" s="71"/>
      <c r="Q64" s="71"/>
      <c r="R64" s="71"/>
      <c r="S64" s="71"/>
      <c r="T64" s="271"/>
      <c r="U64" s="271"/>
      <c r="V64" s="271"/>
      <c r="W64" s="271"/>
      <c r="X64" s="271"/>
      <c r="Y64" s="271"/>
      <c r="Z64" s="271"/>
      <c r="AA64" s="271"/>
      <c r="AB64" s="271"/>
      <c r="AC64" s="271"/>
      <c r="AD64" s="271"/>
      <c r="AE64" s="271"/>
      <c r="AF64" s="271"/>
      <c r="AG64" s="271"/>
      <c r="AH64" s="477"/>
      <c r="AI64" s="477"/>
      <c r="AJ64" s="477"/>
      <c r="AK64" s="477"/>
      <c r="AL64" s="477"/>
      <c r="AM64" s="477"/>
      <c r="AN64" s="477"/>
      <c r="AO64" s="477"/>
      <c r="AP64" s="477"/>
      <c r="AQ64" s="478"/>
      <c r="AR64" s="479"/>
      <c r="AS64" s="287"/>
      <c r="AT64" s="287"/>
      <c r="AU64" s="287"/>
      <c r="AV64" s="287"/>
      <c r="AW64" s="287"/>
      <c r="AX64" s="15"/>
      <c r="AY64" s="15"/>
      <c r="AZ64" s="15"/>
      <c r="BA64" s="15"/>
      <c r="BB64" s="15"/>
      <c r="BC64" s="15"/>
      <c r="BD64" s="15"/>
      <c r="BE64" s="15"/>
      <c r="BF64" s="71"/>
      <c r="BG64" s="71"/>
      <c r="BH64" s="71"/>
      <c r="BI64" s="71"/>
      <c r="BJ64" s="480"/>
      <c r="BK64" s="480"/>
      <c r="BL64" s="480"/>
      <c r="BM64" s="271"/>
      <c r="BN64" s="271"/>
      <c r="BO64" s="271"/>
      <c r="BP64" s="271"/>
      <c r="BQ64" s="271"/>
      <c r="BR64" s="271"/>
      <c r="BS64" s="271"/>
      <c r="BT64" s="271"/>
      <c r="BU64" s="271"/>
      <c r="BV64" s="271"/>
      <c r="BW64" s="271"/>
      <c r="BX64" s="477"/>
      <c r="BY64" s="477"/>
      <c r="BZ64" s="477"/>
      <c r="CA64" s="477"/>
      <c r="CB64" s="477"/>
      <c r="CC64" s="477"/>
      <c r="CD64" s="477"/>
      <c r="CE64" s="477"/>
      <c r="CF64" s="477"/>
      <c r="CG64" s="481"/>
    </row>
    <row r="65" customHeight="1" spans="2:85">
      <c r="B65" s="482" t="s">
        <v>16</v>
      </c>
      <c r="C65" s="483"/>
      <c r="D65" s="483"/>
      <c r="E65" s="483"/>
      <c r="F65" s="483"/>
      <c r="G65" s="483"/>
      <c r="H65" s="73" t="str">
        <f>VLOOKUP(B65,武技!$B$4:$H$60,2,0)</f>
        <v> </v>
      </c>
      <c r="I65" s="73"/>
      <c r="J65" s="73"/>
      <c r="K65" s="73"/>
      <c r="L65" s="73"/>
      <c r="M65" s="73" t="str">
        <f>VLOOKUP(B65,武技!$B$4:$H$60,3,0)</f>
        <v> </v>
      </c>
      <c r="N65" s="73"/>
      <c r="O65" s="73"/>
      <c r="P65" s="73" t="str">
        <f>VLOOKUP(B65,武技!$B$4:$H$60,4,0)</f>
        <v> </v>
      </c>
      <c r="Q65" s="73"/>
      <c r="R65" s="73" t="str">
        <f>VLOOKUP(B65,武技!$B$4:$H$60,5,0)</f>
        <v> </v>
      </c>
      <c r="S65" s="73"/>
      <c r="T65" s="484" t="s">
        <v>16</v>
      </c>
      <c r="U65" s="484"/>
      <c r="V65" s="484"/>
      <c r="W65" s="484"/>
      <c r="X65" s="484"/>
      <c r="Y65" s="484"/>
      <c r="Z65" s="484"/>
      <c r="AA65" s="484"/>
      <c r="AB65" s="484"/>
      <c r="AC65" s="484"/>
      <c r="AD65" s="484"/>
      <c r="AE65" s="484"/>
      <c r="AF65" s="484"/>
      <c r="AG65" s="484"/>
      <c r="AH65" s="261" t="str">
        <f>VLOOKUP(B65,武技!$B$4:$H$60,7,0)</f>
        <v> </v>
      </c>
      <c r="AI65" s="261"/>
      <c r="AJ65" s="261"/>
      <c r="AK65" s="261"/>
      <c r="AL65" s="261"/>
      <c r="AM65" s="261"/>
      <c r="AN65" s="261"/>
      <c r="AO65" s="261"/>
      <c r="AP65" s="261"/>
      <c r="AQ65" s="485"/>
      <c r="AR65" s="486" t="s">
        <v>16</v>
      </c>
      <c r="AS65" s="483"/>
      <c r="AT65" s="483"/>
      <c r="AU65" s="483"/>
      <c r="AV65" s="483"/>
      <c r="AW65" s="483"/>
      <c r="AX65" s="23" t="str">
        <f>VLOOKUP(AR65,术法!$B$4:$I$133,2,0)</f>
        <v> </v>
      </c>
      <c r="AY65" s="23"/>
      <c r="AZ65" s="23"/>
      <c r="BA65" s="23"/>
      <c r="BB65" s="23"/>
      <c r="BC65" s="23" t="str">
        <f>VLOOKUP(AR65,术法!$B$4:$I$133,3,0)</f>
        <v> </v>
      </c>
      <c r="BD65" s="23"/>
      <c r="BE65" s="23"/>
      <c r="BF65" s="73" t="str">
        <f>VLOOKUP(AR65,术法!$B$4:$I$133,4,0)</f>
        <v> </v>
      </c>
      <c r="BG65" s="73"/>
      <c r="BH65" s="73" t="str">
        <f>VLOOKUP(AR65,术法!$B$4:$I$133,5,0)</f>
        <v> </v>
      </c>
      <c r="BI65" s="73"/>
      <c r="BJ65" s="487" t="str">
        <f>VLOOKUP(AR65,术法!$B$4:$I$133,6,0)</f>
        <v> </v>
      </c>
      <c r="BK65" s="487"/>
      <c r="BL65" s="487"/>
      <c r="BM65" s="484"/>
      <c r="BN65" s="484"/>
      <c r="BO65" s="484"/>
      <c r="BP65" s="484"/>
      <c r="BQ65" s="484"/>
      <c r="BR65" s="484"/>
      <c r="BS65" s="484"/>
      <c r="BT65" s="484"/>
      <c r="BU65" s="484"/>
      <c r="BV65" s="484"/>
      <c r="BW65" s="484"/>
      <c r="BX65" s="261" t="str">
        <f>VLOOKUP(AR65,术法!$B$4:$I$133,8,0)</f>
        <v> </v>
      </c>
      <c r="BY65" s="261"/>
      <c r="BZ65" s="261"/>
      <c r="CA65" s="261"/>
      <c r="CB65" s="261"/>
      <c r="CC65" s="261"/>
      <c r="CD65" s="261"/>
      <c r="CE65" s="261"/>
      <c r="CF65" s="261"/>
      <c r="CG65" s="262"/>
    </row>
    <row r="66" customHeight="1" spans="2:85">
      <c r="B66" s="482"/>
      <c r="C66" s="483"/>
      <c r="D66" s="483"/>
      <c r="E66" s="483"/>
      <c r="F66" s="483"/>
      <c r="G66" s="483"/>
      <c r="H66" s="73"/>
      <c r="I66" s="73"/>
      <c r="J66" s="73"/>
      <c r="K66" s="73"/>
      <c r="L66" s="73"/>
      <c r="M66" s="73"/>
      <c r="N66" s="73"/>
      <c r="O66" s="73"/>
      <c r="P66" s="73"/>
      <c r="Q66" s="73"/>
      <c r="R66" s="73"/>
      <c r="S66" s="73"/>
      <c r="T66" s="484"/>
      <c r="U66" s="484"/>
      <c r="V66" s="484"/>
      <c r="W66" s="484"/>
      <c r="X66" s="484"/>
      <c r="Y66" s="484"/>
      <c r="Z66" s="484"/>
      <c r="AA66" s="484"/>
      <c r="AB66" s="484"/>
      <c r="AC66" s="484"/>
      <c r="AD66" s="484"/>
      <c r="AE66" s="484"/>
      <c r="AF66" s="484"/>
      <c r="AG66" s="484"/>
      <c r="AH66" s="261"/>
      <c r="AI66" s="261"/>
      <c r="AJ66" s="261"/>
      <c r="AK66" s="261"/>
      <c r="AL66" s="261"/>
      <c r="AM66" s="261"/>
      <c r="AN66" s="261"/>
      <c r="AO66" s="261"/>
      <c r="AP66" s="261"/>
      <c r="AQ66" s="485"/>
      <c r="AR66" s="486"/>
      <c r="AS66" s="483"/>
      <c r="AT66" s="483"/>
      <c r="AU66" s="483"/>
      <c r="AV66" s="483"/>
      <c r="AW66" s="483"/>
      <c r="AX66" s="23"/>
      <c r="AY66" s="23"/>
      <c r="AZ66" s="23"/>
      <c r="BA66" s="23"/>
      <c r="BB66" s="23"/>
      <c r="BC66" s="23"/>
      <c r="BD66" s="23"/>
      <c r="BE66" s="23"/>
      <c r="BF66" s="73"/>
      <c r="BG66" s="73"/>
      <c r="BH66" s="73"/>
      <c r="BI66" s="73"/>
      <c r="BJ66" s="487"/>
      <c r="BK66" s="487"/>
      <c r="BL66" s="487"/>
      <c r="BM66" s="484"/>
      <c r="BN66" s="484"/>
      <c r="BO66" s="484"/>
      <c r="BP66" s="484"/>
      <c r="BQ66" s="484"/>
      <c r="BR66" s="484"/>
      <c r="BS66" s="484"/>
      <c r="BT66" s="484"/>
      <c r="BU66" s="484"/>
      <c r="BV66" s="484"/>
      <c r="BW66" s="484"/>
      <c r="BX66" s="261"/>
      <c r="BY66" s="261"/>
      <c r="BZ66" s="261"/>
      <c r="CA66" s="261"/>
      <c r="CB66" s="261"/>
      <c r="CC66" s="261"/>
      <c r="CD66" s="261"/>
      <c r="CE66" s="261"/>
      <c r="CF66" s="261"/>
      <c r="CG66" s="262"/>
    </row>
    <row r="67" customHeight="1" spans="2:85">
      <c r="B67" s="127" t="s">
        <v>16</v>
      </c>
      <c r="C67" s="287"/>
      <c r="D67" s="287"/>
      <c r="E67" s="287"/>
      <c r="F67" s="287"/>
      <c r="G67" s="287"/>
      <c r="H67" s="71" t="str">
        <f>VLOOKUP(B67,武技!$B$4:$H$60,2,0)</f>
        <v> </v>
      </c>
      <c r="I67" s="71"/>
      <c r="J67" s="71"/>
      <c r="K67" s="71"/>
      <c r="L67" s="71"/>
      <c r="M67" s="71" t="str">
        <f>VLOOKUP(B67,武技!$B$4:$H$60,3,0)</f>
        <v> </v>
      </c>
      <c r="N67" s="71"/>
      <c r="O67" s="71"/>
      <c r="P67" s="71" t="str">
        <f>VLOOKUP(B67,武技!$B$4:$H$60,4,0)</f>
        <v> </v>
      </c>
      <c r="Q67" s="71"/>
      <c r="R67" s="71" t="str">
        <f>VLOOKUP(B67,武技!$B$4:$H$60,5,0)</f>
        <v> </v>
      </c>
      <c r="S67" s="71"/>
      <c r="T67" s="271" t="s">
        <v>16</v>
      </c>
      <c r="U67" s="271"/>
      <c r="V67" s="271"/>
      <c r="W67" s="271"/>
      <c r="X67" s="271"/>
      <c r="Y67" s="271"/>
      <c r="Z67" s="271"/>
      <c r="AA67" s="271"/>
      <c r="AB67" s="271"/>
      <c r="AC67" s="271"/>
      <c r="AD67" s="271"/>
      <c r="AE67" s="271"/>
      <c r="AF67" s="271"/>
      <c r="AG67" s="271"/>
      <c r="AH67" s="477" t="str">
        <f>VLOOKUP(B67,武技!$B$4:$H$60,7,0)</f>
        <v> </v>
      </c>
      <c r="AI67" s="477"/>
      <c r="AJ67" s="477"/>
      <c r="AK67" s="477"/>
      <c r="AL67" s="477"/>
      <c r="AM67" s="477"/>
      <c r="AN67" s="477"/>
      <c r="AO67" s="477"/>
      <c r="AP67" s="477"/>
      <c r="AQ67" s="478"/>
      <c r="AR67" s="479" t="s">
        <v>16</v>
      </c>
      <c r="AS67" s="287"/>
      <c r="AT67" s="287"/>
      <c r="AU67" s="287"/>
      <c r="AV67" s="287"/>
      <c r="AW67" s="287"/>
      <c r="AX67" s="15" t="str">
        <f>VLOOKUP(AR67,术法!$B$4:$I$133,2,0)</f>
        <v> </v>
      </c>
      <c r="AY67" s="15"/>
      <c r="AZ67" s="15"/>
      <c r="BA67" s="15"/>
      <c r="BB67" s="15"/>
      <c r="BC67" s="15" t="str">
        <f>VLOOKUP(AR67,术法!$B$4:$I$133,3,0)</f>
        <v> </v>
      </c>
      <c r="BD67" s="15"/>
      <c r="BE67" s="15"/>
      <c r="BF67" s="71" t="str">
        <f>VLOOKUP(AR67,术法!$B$4:$I$133,4,0)</f>
        <v> </v>
      </c>
      <c r="BG67" s="71"/>
      <c r="BH67" s="71" t="str">
        <f>VLOOKUP(AR67,术法!$B$4:$I$133,5,0)</f>
        <v> </v>
      </c>
      <c r="BI67" s="71"/>
      <c r="BJ67" s="480" t="str">
        <f>VLOOKUP(AR67,术法!$B$4:$I$133,6,0)</f>
        <v> </v>
      </c>
      <c r="BK67" s="480"/>
      <c r="BL67" s="480"/>
      <c r="BM67" s="271"/>
      <c r="BN67" s="271"/>
      <c r="BO67" s="271"/>
      <c r="BP67" s="271"/>
      <c r="BQ67" s="271"/>
      <c r="BR67" s="271"/>
      <c r="BS67" s="271"/>
      <c r="BT67" s="271"/>
      <c r="BU67" s="271"/>
      <c r="BV67" s="271"/>
      <c r="BW67" s="271"/>
      <c r="BX67" s="477" t="str">
        <f>VLOOKUP(AR67,术法!$B$4:$I$133,8,0)</f>
        <v> </v>
      </c>
      <c r="BY67" s="477"/>
      <c r="BZ67" s="477"/>
      <c r="CA67" s="477"/>
      <c r="CB67" s="477"/>
      <c r="CC67" s="477"/>
      <c r="CD67" s="477"/>
      <c r="CE67" s="477"/>
      <c r="CF67" s="477"/>
      <c r="CG67" s="481"/>
    </row>
    <row r="68" customHeight="1" spans="2:85">
      <c r="B68" s="127"/>
      <c r="C68" s="287"/>
      <c r="D68" s="287"/>
      <c r="E68" s="287"/>
      <c r="F68" s="287"/>
      <c r="G68" s="287"/>
      <c r="H68" s="71"/>
      <c r="I68" s="71"/>
      <c r="J68" s="71"/>
      <c r="K68" s="71"/>
      <c r="L68" s="71"/>
      <c r="M68" s="71"/>
      <c r="N68" s="71"/>
      <c r="O68" s="71"/>
      <c r="P68" s="71"/>
      <c r="Q68" s="71"/>
      <c r="R68" s="71"/>
      <c r="S68" s="71"/>
      <c r="T68" s="271"/>
      <c r="U68" s="271"/>
      <c r="V68" s="271"/>
      <c r="W68" s="271"/>
      <c r="X68" s="271"/>
      <c r="Y68" s="271"/>
      <c r="Z68" s="271"/>
      <c r="AA68" s="271"/>
      <c r="AB68" s="271"/>
      <c r="AC68" s="271"/>
      <c r="AD68" s="271"/>
      <c r="AE68" s="271"/>
      <c r="AF68" s="271"/>
      <c r="AG68" s="271"/>
      <c r="AH68" s="477"/>
      <c r="AI68" s="477"/>
      <c r="AJ68" s="477"/>
      <c r="AK68" s="477"/>
      <c r="AL68" s="477"/>
      <c r="AM68" s="477"/>
      <c r="AN68" s="477"/>
      <c r="AO68" s="477"/>
      <c r="AP68" s="477"/>
      <c r="AQ68" s="478"/>
      <c r="AR68" s="479"/>
      <c r="AS68" s="287"/>
      <c r="AT68" s="287"/>
      <c r="AU68" s="287"/>
      <c r="AV68" s="287"/>
      <c r="AW68" s="287"/>
      <c r="AX68" s="15"/>
      <c r="AY68" s="15"/>
      <c r="AZ68" s="15"/>
      <c r="BA68" s="15"/>
      <c r="BB68" s="15"/>
      <c r="BC68" s="15"/>
      <c r="BD68" s="15"/>
      <c r="BE68" s="15"/>
      <c r="BF68" s="71"/>
      <c r="BG68" s="71"/>
      <c r="BH68" s="71"/>
      <c r="BI68" s="71"/>
      <c r="BJ68" s="480"/>
      <c r="BK68" s="480"/>
      <c r="BL68" s="480"/>
      <c r="BM68" s="271"/>
      <c r="BN68" s="271"/>
      <c r="BO68" s="271"/>
      <c r="BP68" s="271"/>
      <c r="BQ68" s="271"/>
      <c r="BR68" s="271"/>
      <c r="BS68" s="271"/>
      <c r="BT68" s="271"/>
      <c r="BU68" s="271"/>
      <c r="BV68" s="271"/>
      <c r="BW68" s="271"/>
      <c r="BX68" s="477"/>
      <c r="BY68" s="477"/>
      <c r="BZ68" s="477"/>
      <c r="CA68" s="477"/>
      <c r="CB68" s="477"/>
      <c r="CC68" s="477"/>
      <c r="CD68" s="477"/>
      <c r="CE68" s="477"/>
      <c r="CF68" s="477"/>
      <c r="CG68" s="481"/>
    </row>
    <row r="69" customHeight="1" spans="2:85">
      <c r="B69" s="482" t="s">
        <v>16</v>
      </c>
      <c r="C69" s="483"/>
      <c r="D69" s="483"/>
      <c r="E69" s="483"/>
      <c r="F69" s="483"/>
      <c r="G69" s="483"/>
      <c r="H69" s="73" t="str">
        <f>VLOOKUP(B69,武技!$B$4:$H$60,2,0)</f>
        <v> </v>
      </c>
      <c r="I69" s="73"/>
      <c r="J69" s="73"/>
      <c r="K69" s="73"/>
      <c r="L69" s="73"/>
      <c r="M69" s="73" t="str">
        <f>VLOOKUP(B69,武技!$B$4:$H$60,3,0)</f>
        <v> </v>
      </c>
      <c r="N69" s="73"/>
      <c r="O69" s="73"/>
      <c r="P69" s="73" t="str">
        <f>VLOOKUP(B69,武技!$B$4:$H$60,4,0)</f>
        <v> </v>
      </c>
      <c r="Q69" s="73"/>
      <c r="R69" s="73" t="str">
        <f>VLOOKUP(B69,武技!$B$4:$H$60,5,0)</f>
        <v> </v>
      </c>
      <c r="S69" s="73"/>
      <c r="T69" s="484" t="s">
        <v>16</v>
      </c>
      <c r="U69" s="484"/>
      <c r="V69" s="484"/>
      <c r="W69" s="484"/>
      <c r="X69" s="484"/>
      <c r="Y69" s="484"/>
      <c r="Z69" s="484"/>
      <c r="AA69" s="484"/>
      <c r="AB69" s="484"/>
      <c r="AC69" s="484"/>
      <c r="AD69" s="484"/>
      <c r="AE69" s="484"/>
      <c r="AF69" s="484"/>
      <c r="AG69" s="484"/>
      <c r="AH69" s="261" t="str">
        <f>VLOOKUP(B69,武技!$B$4:$H$60,7,0)</f>
        <v> </v>
      </c>
      <c r="AI69" s="261"/>
      <c r="AJ69" s="261"/>
      <c r="AK69" s="261"/>
      <c r="AL69" s="261"/>
      <c r="AM69" s="261"/>
      <c r="AN69" s="261"/>
      <c r="AO69" s="261"/>
      <c r="AP69" s="261"/>
      <c r="AQ69" s="485"/>
      <c r="AR69" s="486" t="s">
        <v>16</v>
      </c>
      <c r="AS69" s="483"/>
      <c r="AT69" s="483"/>
      <c r="AU69" s="483"/>
      <c r="AV69" s="483"/>
      <c r="AW69" s="483"/>
      <c r="AX69" s="23" t="str">
        <f>VLOOKUP(AR69,术法!$B$4:$I$133,2,0)</f>
        <v> </v>
      </c>
      <c r="AY69" s="23"/>
      <c r="AZ69" s="23"/>
      <c r="BA69" s="23"/>
      <c r="BB69" s="23"/>
      <c r="BC69" s="23" t="str">
        <f>VLOOKUP(AR69,术法!$B$4:$I$133,3,0)</f>
        <v> </v>
      </c>
      <c r="BD69" s="23"/>
      <c r="BE69" s="23"/>
      <c r="BF69" s="73" t="str">
        <f>VLOOKUP(AR69,术法!$B$4:$I$133,4,0)</f>
        <v> </v>
      </c>
      <c r="BG69" s="73"/>
      <c r="BH69" s="73" t="str">
        <f>VLOOKUP(AR69,术法!$B$4:$I$133,5,0)</f>
        <v> </v>
      </c>
      <c r="BI69" s="73"/>
      <c r="BJ69" s="487" t="str">
        <f>VLOOKUP(AR69,术法!$B$4:$I$133,6,0)</f>
        <v> </v>
      </c>
      <c r="BK69" s="487"/>
      <c r="BL69" s="487"/>
      <c r="BM69" s="484"/>
      <c r="BN69" s="484"/>
      <c r="BO69" s="484"/>
      <c r="BP69" s="484"/>
      <c r="BQ69" s="484"/>
      <c r="BR69" s="484"/>
      <c r="BS69" s="484"/>
      <c r="BT69" s="484"/>
      <c r="BU69" s="484"/>
      <c r="BV69" s="484"/>
      <c r="BW69" s="484"/>
      <c r="BX69" s="261" t="str">
        <f>VLOOKUP(AR69,术法!$B$4:$I$133,8,0)</f>
        <v> </v>
      </c>
      <c r="BY69" s="261"/>
      <c r="BZ69" s="261"/>
      <c r="CA69" s="261"/>
      <c r="CB69" s="261"/>
      <c r="CC69" s="261"/>
      <c r="CD69" s="261"/>
      <c r="CE69" s="261"/>
      <c r="CF69" s="261"/>
      <c r="CG69" s="262"/>
    </row>
    <row r="70" customHeight="1" spans="2:85">
      <c r="B70" s="482"/>
      <c r="C70" s="483"/>
      <c r="D70" s="483"/>
      <c r="E70" s="483"/>
      <c r="F70" s="483"/>
      <c r="G70" s="483"/>
      <c r="H70" s="73"/>
      <c r="I70" s="73"/>
      <c r="J70" s="73"/>
      <c r="K70" s="73"/>
      <c r="L70" s="73"/>
      <c r="M70" s="73"/>
      <c r="N70" s="73"/>
      <c r="O70" s="73"/>
      <c r="P70" s="73"/>
      <c r="Q70" s="73"/>
      <c r="R70" s="73"/>
      <c r="S70" s="73"/>
      <c r="T70" s="484"/>
      <c r="U70" s="484"/>
      <c r="V70" s="484"/>
      <c r="W70" s="484"/>
      <c r="X70" s="484"/>
      <c r="Y70" s="484"/>
      <c r="Z70" s="484"/>
      <c r="AA70" s="484"/>
      <c r="AB70" s="484"/>
      <c r="AC70" s="484"/>
      <c r="AD70" s="484"/>
      <c r="AE70" s="484"/>
      <c r="AF70" s="484"/>
      <c r="AG70" s="484"/>
      <c r="AH70" s="261"/>
      <c r="AI70" s="261"/>
      <c r="AJ70" s="261"/>
      <c r="AK70" s="261"/>
      <c r="AL70" s="261"/>
      <c r="AM70" s="261"/>
      <c r="AN70" s="261"/>
      <c r="AO70" s="261"/>
      <c r="AP70" s="261"/>
      <c r="AQ70" s="485"/>
      <c r="AR70" s="486"/>
      <c r="AS70" s="483"/>
      <c r="AT70" s="483"/>
      <c r="AU70" s="483"/>
      <c r="AV70" s="483"/>
      <c r="AW70" s="483"/>
      <c r="AX70" s="23"/>
      <c r="AY70" s="23"/>
      <c r="AZ70" s="23"/>
      <c r="BA70" s="23"/>
      <c r="BB70" s="23"/>
      <c r="BC70" s="23"/>
      <c r="BD70" s="23"/>
      <c r="BE70" s="23"/>
      <c r="BF70" s="73"/>
      <c r="BG70" s="73"/>
      <c r="BH70" s="73"/>
      <c r="BI70" s="73"/>
      <c r="BJ70" s="487"/>
      <c r="BK70" s="487"/>
      <c r="BL70" s="487"/>
      <c r="BM70" s="484"/>
      <c r="BN70" s="484"/>
      <c r="BO70" s="484"/>
      <c r="BP70" s="484"/>
      <c r="BQ70" s="484"/>
      <c r="BR70" s="484"/>
      <c r="BS70" s="484"/>
      <c r="BT70" s="484"/>
      <c r="BU70" s="484"/>
      <c r="BV70" s="484"/>
      <c r="BW70" s="484"/>
      <c r="BX70" s="261"/>
      <c r="BY70" s="261"/>
      <c r="BZ70" s="261"/>
      <c r="CA70" s="261"/>
      <c r="CB70" s="261"/>
      <c r="CC70" s="261"/>
      <c r="CD70" s="261"/>
      <c r="CE70" s="261"/>
      <c r="CF70" s="261"/>
      <c r="CG70" s="262"/>
    </row>
    <row r="71" customHeight="1" spans="2:85">
      <c r="B71" s="127" t="s">
        <v>16</v>
      </c>
      <c r="C71" s="287"/>
      <c r="D71" s="287"/>
      <c r="E71" s="287"/>
      <c r="F71" s="287"/>
      <c r="G71" s="287"/>
      <c r="H71" s="71" t="str">
        <f>VLOOKUP(B71,武技!$B$4:$H$60,2,0)</f>
        <v> </v>
      </c>
      <c r="I71" s="71"/>
      <c r="J71" s="71"/>
      <c r="K71" s="71"/>
      <c r="L71" s="71"/>
      <c r="M71" s="71" t="str">
        <f>VLOOKUP(B71,武技!$B$4:$H$60,3,0)</f>
        <v> </v>
      </c>
      <c r="N71" s="71"/>
      <c r="O71" s="71"/>
      <c r="P71" s="71" t="str">
        <f>VLOOKUP(B71,武技!$B$4:$H$60,4,0)</f>
        <v> </v>
      </c>
      <c r="Q71" s="71"/>
      <c r="R71" s="71" t="str">
        <f>VLOOKUP(B71,武技!$B$4:$H$60,5,0)</f>
        <v> </v>
      </c>
      <c r="S71" s="71"/>
      <c r="T71" s="271" t="s">
        <v>16</v>
      </c>
      <c r="U71" s="271"/>
      <c r="V71" s="271"/>
      <c r="W71" s="271"/>
      <c r="X71" s="271"/>
      <c r="Y71" s="271"/>
      <c r="Z71" s="271"/>
      <c r="AA71" s="271"/>
      <c r="AB71" s="271"/>
      <c r="AC71" s="271"/>
      <c r="AD71" s="271"/>
      <c r="AE71" s="271"/>
      <c r="AF71" s="271"/>
      <c r="AG71" s="271"/>
      <c r="AH71" s="477" t="str">
        <f>VLOOKUP(B71,武技!$B$4:$H$60,7,0)</f>
        <v> </v>
      </c>
      <c r="AI71" s="477"/>
      <c r="AJ71" s="477"/>
      <c r="AK71" s="477"/>
      <c r="AL71" s="477"/>
      <c r="AM71" s="477"/>
      <c r="AN71" s="477"/>
      <c r="AO71" s="477"/>
      <c r="AP71" s="477"/>
      <c r="AQ71" s="478"/>
      <c r="AR71" s="479" t="s">
        <v>16</v>
      </c>
      <c r="AS71" s="287"/>
      <c r="AT71" s="287"/>
      <c r="AU71" s="287"/>
      <c r="AV71" s="287"/>
      <c r="AW71" s="287"/>
      <c r="AX71" s="15" t="str">
        <f>VLOOKUP(AR71,术法!$B$4:$I$133,2,0)</f>
        <v> </v>
      </c>
      <c r="AY71" s="15"/>
      <c r="AZ71" s="15"/>
      <c r="BA71" s="15"/>
      <c r="BB71" s="15"/>
      <c r="BC71" s="15" t="str">
        <f>VLOOKUP(AR71,术法!$B$4:$I$133,3,0)</f>
        <v> </v>
      </c>
      <c r="BD71" s="15"/>
      <c r="BE71" s="15"/>
      <c r="BF71" s="71" t="str">
        <f>VLOOKUP(AR71,术法!$B$4:$I$133,4,0)</f>
        <v> </v>
      </c>
      <c r="BG71" s="71"/>
      <c r="BH71" s="71" t="str">
        <f>VLOOKUP(AR71,术法!$B$4:$I$133,5,0)</f>
        <v> </v>
      </c>
      <c r="BI71" s="71"/>
      <c r="BJ71" s="480" t="str">
        <f>VLOOKUP(AR71,术法!$B$4:$I$133,6,0)</f>
        <v> </v>
      </c>
      <c r="BK71" s="480"/>
      <c r="BL71" s="480"/>
      <c r="BM71" s="271"/>
      <c r="BN71" s="271"/>
      <c r="BO71" s="271"/>
      <c r="BP71" s="271"/>
      <c r="BQ71" s="271"/>
      <c r="BR71" s="271"/>
      <c r="BS71" s="271"/>
      <c r="BT71" s="271"/>
      <c r="BU71" s="271"/>
      <c r="BV71" s="271"/>
      <c r="BW71" s="271"/>
      <c r="BX71" s="477" t="str">
        <f>VLOOKUP(AR71,术法!$B$4:$I$133,8,0)</f>
        <v> </v>
      </c>
      <c r="BY71" s="477"/>
      <c r="BZ71" s="477"/>
      <c r="CA71" s="477"/>
      <c r="CB71" s="477"/>
      <c r="CC71" s="477"/>
      <c r="CD71" s="477"/>
      <c r="CE71" s="477"/>
      <c r="CF71" s="477"/>
      <c r="CG71" s="481"/>
    </row>
    <row r="72" customHeight="1" spans="2:85">
      <c r="B72" s="127"/>
      <c r="C72" s="287"/>
      <c r="D72" s="287"/>
      <c r="E72" s="287"/>
      <c r="F72" s="287"/>
      <c r="G72" s="287"/>
      <c r="H72" s="71"/>
      <c r="I72" s="71"/>
      <c r="J72" s="71"/>
      <c r="K72" s="71"/>
      <c r="L72" s="71"/>
      <c r="M72" s="71"/>
      <c r="N72" s="71"/>
      <c r="O72" s="71"/>
      <c r="P72" s="71"/>
      <c r="Q72" s="71"/>
      <c r="R72" s="71"/>
      <c r="S72" s="71"/>
      <c r="T72" s="271"/>
      <c r="U72" s="271"/>
      <c r="V72" s="271"/>
      <c r="W72" s="271"/>
      <c r="X72" s="271"/>
      <c r="Y72" s="271"/>
      <c r="Z72" s="271"/>
      <c r="AA72" s="271"/>
      <c r="AB72" s="271"/>
      <c r="AC72" s="271"/>
      <c r="AD72" s="271"/>
      <c r="AE72" s="271"/>
      <c r="AF72" s="271"/>
      <c r="AG72" s="271"/>
      <c r="AH72" s="477"/>
      <c r="AI72" s="477"/>
      <c r="AJ72" s="477"/>
      <c r="AK72" s="477"/>
      <c r="AL72" s="477"/>
      <c r="AM72" s="477"/>
      <c r="AN72" s="477"/>
      <c r="AO72" s="477"/>
      <c r="AP72" s="477"/>
      <c r="AQ72" s="478"/>
      <c r="AR72" s="479"/>
      <c r="AS72" s="287"/>
      <c r="AT72" s="287"/>
      <c r="AU72" s="287"/>
      <c r="AV72" s="287"/>
      <c r="AW72" s="287"/>
      <c r="AX72" s="15"/>
      <c r="AY72" s="15"/>
      <c r="AZ72" s="15"/>
      <c r="BA72" s="15"/>
      <c r="BB72" s="15"/>
      <c r="BC72" s="15"/>
      <c r="BD72" s="15"/>
      <c r="BE72" s="15"/>
      <c r="BF72" s="71"/>
      <c r="BG72" s="71"/>
      <c r="BH72" s="71"/>
      <c r="BI72" s="71"/>
      <c r="BJ72" s="480"/>
      <c r="BK72" s="480"/>
      <c r="BL72" s="480"/>
      <c r="BM72" s="271"/>
      <c r="BN72" s="271"/>
      <c r="BO72" s="271"/>
      <c r="BP72" s="271"/>
      <c r="BQ72" s="271"/>
      <c r="BR72" s="271"/>
      <c r="BS72" s="271"/>
      <c r="BT72" s="271"/>
      <c r="BU72" s="271"/>
      <c r="BV72" s="271"/>
      <c r="BW72" s="271"/>
      <c r="BX72" s="477"/>
      <c r="BY72" s="477"/>
      <c r="BZ72" s="477"/>
      <c r="CA72" s="477"/>
      <c r="CB72" s="477"/>
      <c r="CC72" s="477"/>
      <c r="CD72" s="477"/>
      <c r="CE72" s="477"/>
      <c r="CF72" s="477"/>
      <c r="CG72" s="481"/>
    </row>
    <row r="73" customHeight="1" spans="2:85">
      <c r="B73" s="482" t="s">
        <v>16</v>
      </c>
      <c r="C73" s="483"/>
      <c r="D73" s="483"/>
      <c r="E73" s="483"/>
      <c r="F73" s="483"/>
      <c r="G73" s="483"/>
      <c r="H73" s="73" t="str">
        <f>VLOOKUP(B73,武技!$B$4:$H$60,2,0)</f>
        <v> </v>
      </c>
      <c r="I73" s="73"/>
      <c r="J73" s="73"/>
      <c r="K73" s="73"/>
      <c r="L73" s="73"/>
      <c r="M73" s="73" t="str">
        <f>VLOOKUP(B73,武技!$B$4:$H$60,3,0)</f>
        <v> </v>
      </c>
      <c r="N73" s="73"/>
      <c r="O73" s="73"/>
      <c r="P73" s="73" t="str">
        <f>VLOOKUP(B73,武技!$B$4:$H$60,4,0)</f>
        <v> </v>
      </c>
      <c r="Q73" s="73"/>
      <c r="R73" s="73" t="str">
        <f>VLOOKUP(B73,武技!$B$4:$H$60,5,0)</f>
        <v> </v>
      </c>
      <c r="S73" s="73"/>
      <c r="T73" s="484" t="s">
        <v>16</v>
      </c>
      <c r="U73" s="484"/>
      <c r="V73" s="484"/>
      <c r="W73" s="484"/>
      <c r="X73" s="484"/>
      <c r="Y73" s="484"/>
      <c r="Z73" s="484"/>
      <c r="AA73" s="484"/>
      <c r="AB73" s="484"/>
      <c r="AC73" s="484"/>
      <c r="AD73" s="484"/>
      <c r="AE73" s="484"/>
      <c r="AF73" s="484"/>
      <c r="AG73" s="484"/>
      <c r="AH73" s="261" t="str">
        <f>VLOOKUP(B73,武技!$B$4:$H$60,7,0)</f>
        <v> </v>
      </c>
      <c r="AI73" s="261"/>
      <c r="AJ73" s="261"/>
      <c r="AK73" s="261"/>
      <c r="AL73" s="261"/>
      <c r="AM73" s="261"/>
      <c r="AN73" s="261"/>
      <c r="AO73" s="261"/>
      <c r="AP73" s="261"/>
      <c r="AQ73" s="485"/>
      <c r="AR73" s="486" t="s">
        <v>16</v>
      </c>
      <c r="AS73" s="483"/>
      <c r="AT73" s="483"/>
      <c r="AU73" s="483"/>
      <c r="AV73" s="483"/>
      <c r="AW73" s="483"/>
      <c r="AX73" s="23" t="str">
        <f>VLOOKUP(AR73,术法!$B$4:$I$133,2,0)</f>
        <v> </v>
      </c>
      <c r="AY73" s="23"/>
      <c r="AZ73" s="23"/>
      <c r="BA73" s="23"/>
      <c r="BB73" s="23"/>
      <c r="BC73" s="23" t="str">
        <f>VLOOKUP(AR73,术法!$B$4:$I$133,3,0)</f>
        <v> </v>
      </c>
      <c r="BD73" s="23"/>
      <c r="BE73" s="23"/>
      <c r="BF73" s="73" t="str">
        <f>VLOOKUP(AR73,术法!$B$4:$I$133,4,0)</f>
        <v> </v>
      </c>
      <c r="BG73" s="73"/>
      <c r="BH73" s="73" t="str">
        <f>VLOOKUP(AR73,术法!$B$4:$I$133,5,0)</f>
        <v> </v>
      </c>
      <c r="BI73" s="73"/>
      <c r="BJ73" s="487" t="str">
        <f>VLOOKUP(AR73,术法!$B$4:$I$133,6,0)</f>
        <v> </v>
      </c>
      <c r="BK73" s="487"/>
      <c r="BL73" s="487"/>
      <c r="BM73" s="484"/>
      <c r="BN73" s="484"/>
      <c r="BO73" s="484"/>
      <c r="BP73" s="484"/>
      <c r="BQ73" s="484"/>
      <c r="BR73" s="484"/>
      <c r="BS73" s="484"/>
      <c r="BT73" s="484"/>
      <c r="BU73" s="484"/>
      <c r="BV73" s="484"/>
      <c r="BW73" s="484"/>
      <c r="BX73" s="261" t="str">
        <f>VLOOKUP(AR73,术法!$B$4:$I$133,8,0)</f>
        <v> </v>
      </c>
      <c r="BY73" s="261"/>
      <c r="BZ73" s="261"/>
      <c r="CA73" s="261"/>
      <c r="CB73" s="261"/>
      <c r="CC73" s="261"/>
      <c r="CD73" s="261"/>
      <c r="CE73" s="261"/>
      <c r="CF73" s="261"/>
      <c r="CG73" s="262"/>
    </row>
    <row r="74" customHeight="1" spans="2:85">
      <c r="B74" s="488"/>
      <c r="C74" s="489"/>
      <c r="D74" s="489"/>
      <c r="E74" s="489"/>
      <c r="F74" s="489"/>
      <c r="G74" s="489"/>
      <c r="H74" s="99"/>
      <c r="I74" s="99"/>
      <c r="J74" s="99"/>
      <c r="K74" s="99"/>
      <c r="L74" s="99"/>
      <c r="M74" s="99"/>
      <c r="N74" s="99"/>
      <c r="O74" s="99"/>
      <c r="P74" s="99"/>
      <c r="Q74" s="99"/>
      <c r="R74" s="99"/>
      <c r="S74" s="99"/>
      <c r="T74" s="490"/>
      <c r="U74" s="490"/>
      <c r="V74" s="490"/>
      <c r="W74" s="490"/>
      <c r="X74" s="490"/>
      <c r="Y74" s="490"/>
      <c r="Z74" s="490"/>
      <c r="AA74" s="490"/>
      <c r="AB74" s="490"/>
      <c r="AC74" s="490"/>
      <c r="AD74" s="490"/>
      <c r="AE74" s="490"/>
      <c r="AF74" s="490"/>
      <c r="AG74" s="490"/>
      <c r="AH74" s="491"/>
      <c r="AI74" s="491"/>
      <c r="AJ74" s="491"/>
      <c r="AK74" s="491"/>
      <c r="AL74" s="491"/>
      <c r="AM74" s="491"/>
      <c r="AN74" s="491"/>
      <c r="AO74" s="491"/>
      <c r="AP74" s="491"/>
      <c r="AQ74" s="492"/>
      <c r="AR74" s="493"/>
      <c r="AS74" s="489"/>
      <c r="AT74" s="489"/>
      <c r="AU74" s="489"/>
      <c r="AV74" s="489"/>
      <c r="AW74" s="489"/>
      <c r="AX74" s="29"/>
      <c r="AY74" s="29"/>
      <c r="AZ74" s="29"/>
      <c r="BA74" s="29"/>
      <c r="BB74" s="29"/>
      <c r="BC74" s="29"/>
      <c r="BD74" s="29"/>
      <c r="BE74" s="29"/>
      <c r="BF74" s="99"/>
      <c r="BG74" s="99"/>
      <c r="BH74" s="99"/>
      <c r="BI74" s="99"/>
      <c r="BJ74" s="494"/>
      <c r="BK74" s="494"/>
      <c r="BL74" s="494"/>
      <c r="BM74" s="490"/>
      <c r="BN74" s="490"/>
      <c r="BO74" s="490"/>
      <c r="BP74" s="490"/>
      <c r="BQ74" s="490"/>
      <c r="BR74" s="490"/>
      <c r="BS74" s="490"/>
      <c r="BT74" s="490"/>
      <c r="BU74" s="490"/>
      <c r="BV74" s="490"/>
      <c r="BW74" s="490"/>
      <c r="BX74" s="491"/>
      <c r="BY74" s="491"/>
      <c r="BZ74" s="491"/>
      <c r="CA74" s="491"/>
      <c r="CB74" s="491"/>
      <c r="CC74" s="491"/>
      <c r="CD74" s="491"/>
      <c r="CE74" s="491"/>
      <c r="CF74" s="491"/>
      <c r="CG74" s="495"/>
    </row>
    <row r="75" customHeight="1" spans="2:85">
      <c r="B75" s="496" t="s">
        <v>83</v>
      </c>
      <c r="C75" s="496"/>
      <c r="D75" s="496"/>
      <c r="E75" s="496"/>
      <c r="F75" s="496"/>
      <c r="G75" s="496"/>
      <c r="H75" s="496"/>
      <c r="I75" s="496"/>
      <c r="J75" s="496"/>
      <c r="K75" s="496"/>
      <c r="L75" s="496"/>
      <c r="M75" s="496"/>
      <c r="N75" s="496"/>
      <c r="O75" s="496"/>
      <c r="P75" s="496"/>
      <c r="Q75" s="496"/>
      <c r="R75" s="496"/>
      <c r="S75" s="496"/>
      <c r="T75" s="496"/>
      <c r="U75" s="496"/>
      <c r="V75" s="496"/>
      <c r="W75" s="496"/>
      <c r="X75" s="496"/>
      <c r="Y75" s="496"/>
      <c r="Z75" s="496"/>
      <c r="AA75" s="496"/>
      <c r="AB75" s="496"/>
      <c r="AC75" s="496"/>
      <c r="AD75" s="496"/>
      <c r="AE75" s="496"/>
      <c r="AF75" s="496"/>
      <c r="AG75" s="496"/>
      <c r="AH75" s="496"/>
      <c r="AI75" s="496"/>
      <c r="AJ75" s="496"/>
      <c r="AK75" s="496"/>
      <c r="AL75" s="496"/>
      <c r="AM75" s="496"/>
      <c r="AN75" s="496"/>
      <c r="AO75" s="496"/>
      <c r="AP75" s="496"/>
      <c r="AQ75" s="496"/>
      <c r="AR75" s="496"/>
      <c r="AS75" s="496"/>
      <c r="AT75" s="496"/>
      <c r="AU75" s="496"/>
      <c r="AV75" s="496"/>
      <c r="AW75" s="496"/>
      <c r="AX75" s="496"/>
      <c r="AY75" s="496"/>
      <c r="AZ75" s="496"/>
      <c r="BA75" s="496"/>
      <c r="BB75" s="496"/>
      <c r="BC75" s="496"/>
      <c r="BD75" s="496"/>
      <c r="BE75" s="496"/>
      <c r="BF75" s="496"/>
      <c r="BG75" s="496"/>
      <c r="BH75" s="496"/>
      <c r="BI75" s="496"/>
      <c r="BJ75" s="496"/>
      <c r="BK75" s="496"/>
      <c r="BL75" s="496"/>
      <c r="BM75" s="496"/>
      <c r="BN75" s="496"/>
      <c r="BO75" s="496"/>
      <c r="BP75" s="496"/>
      <c r="BQ75" s="496"/>
      <c r="BR75" s="496"/>
      <c r="BS75" s="496"/>
      <c r="BT75" s="496"/>
      <c r="BU75" s="496"/>
      <c r="BV75" s="496"/>
      <c r="BW75" s="496"/>
      <c r="BX75" s="496"/>
      <c r="BY75" s="496"/>
      <c r="BZ75" s="496"/>
      <c r="CA75" s="496"/>
      <c r="CB75" s="496"/>
      <c r="CC75" s="496"/>
      <c r="CD75" s="496"/>
      <c r="CE75" s="496"/>
      <c r="CF75" s="496"/>
      <c r="CG75" s="496"/>
    </row>
    <row r="76" customHeight="1" spans="2:85">
      <c r="B76" s="237" t="s">
        <v>84</v>
      </c>
      <c r="C76" s="238"/>
      <c r="D76" s="238"/>
      <c r="E76" s="238"/>
      <c r="F76" s="238"/>
      <c r="G76" s="238"/>
      <c r="H76" s="238"/>
      <c r="I76" s="238"/>
      <c r="J76" s="238"/>
      <c r="K76" s="238"/>
      <c r="L76" s="238"/>
      <c r="M76" s="238"/>
      <c r="N76" s="238"/>
      <c r="O76" s="238"/>
      <c r="P76" s="238"/>
      <c r="Q76" s="238"/>
      <c r="R76" s="238"/>
      <c r="S76" s="238"/>
      <c r="T76" s="238"/>
      <c r="U76" s="238"/>
      <c r="V76" s="238"/>
      <c r="W76" s="238"/>
      <c r="X76" s="238"/>
      <c r="Y76" s="238"/>
      <c r="Z76" s="238"/>
      <c r="AA76" s="238"/>
      <c r="AB76" s="238"/>
      <c r="AC76" s="238"/>
      <c r="AD76" s="238"/>
      <c r="AE76" s="238"/>
      <c r="AF76" s="238"/>
      <c r="AG76" s="238"/>
      <c r="AH76" s="238"/>
      <c r="AI76" s="238"/>
      <c r="AJ76" s="238"/>
      <c r="AK76" s="238"/>
      <c r="AL76" s="238"/>
      <c r="AM76" s="238"/>
      <c r="AN76" s="238"/>
      <c r="AO76" s="238"/>
      <c r="AP76" s="238"/>
      <c r="AQ76" s="497"/>
      <c r="AR76" s="498" t="s">
        <v>85</v>
      </c>
      <c r="AS76" s="238"/>
      <c r="AT76" s="238"/>
      <c r="AU76" s="238"/>
      <c r="AV76" s="238"/>
      <c r="AW76" s="238"/>
      <c r="AX76" s="238"/>
      <c r="AY76" s="238"/>
      <c r="AZ76" s="238"/>
      <c r="BA76" s="238"/>
      <c r="BB76" s="238"/>
      <c r="BC76" s="238"/>
      <c r="BD76" s="238"/>
      <c r="BE76" s="238"/>
      <c r="BF76" s="238"/>
      <c r="BG76" s="238"/>
      <c r="BH76" s="238"/>
      <c r="BI76" s="238"/>
      <c r="BJ76" s="499"/>
      <c r="BK76" s="499"/>
      <c r="BL76" s="499"/>
      <c r="BM76" s="238"/>
      <c r="BN76" s="238"/>
      <c r="BO76" s="238"/>
      <c r="BP76" s="238"/>
      <c r="BQ76" s="238"/>
      <c r="BR76" s="238"/>
      <c r="BS76" s="238"/>
      <c r="BT76" s="238"/>
      <c r="BU76" s="238"/>
      <c r="BV76" s="238"/>
      <c r="BW76" s="238"/>
      <c r="BX76" s="238"/>
      <c r="BY76" s="238"/>
      <c r="BZ76" s="238"/>
      <c r="CA76" s="238"/>
      <c r="CB76" s="238"/>
      <c r="CC76" s="238"/>
      <c r="CD76" s="238"/>
      <c r="CE76" s="238"/>
      <c r="CF76" s="238"/>
      <c r="CG76" s="239"/>
    </row>
    <row r="77" customHeight="1" spans="2:85">
      <c r="B77" s="114" t="s">
        <v>45</v>
      </c>
      <c r="C77" s="467"/>
      <c r="D77" s="467"/>
      <c r="E77" s="467"/>
      <c r="F77" s="467"/>
      <c r="G77" s="467"/>
      <c r="H77" s="467" t="s">
        <v>10</v>
      </c>
      <c r="I77" s="467"/>
      <c r="J77" s="467"/>
      <c r="K77" s="467"/>
      <c r="L77" s="467"/>
      <c r="M77" s="467" t="s">
        <v>78</v>
      </c>
      <c r="N77" s="467"/>
      <c r="O77" s="467"/>
      <c r="P77" s="467" t="s">
        <v>86</v>
      </c>
      <c r="Q77" s="467"/>
      <c r="R77" s="467" t="s">
        <v>80</v>
      </c>
      <c r="S77" s="467"/>
      <c r="T77" s="468" t="s">
        <v>69</v>
      </c>
      <c r="U77" s="468"/>
      <c r="V77" s="468"/>
      <c r="W77" s="468"/>
      <c r="X77" s="468"/>
      <c r="Y77" s="468"/>
      <c r="Z77" s="468"/>
      <c r="AA77" s="468"/>
      <c r="AB77" s="468"/>
      <c r="AC77" s="468"/>
      <c r="AD77" s="468"/>
      <c r="AE77" s="468"/>
      <c r="AF77" s="468"/>
      <c r="AG77" s="468"/>
      <c r="AH77" s="468" t="s">
        <v>81</v>
      </c>
      <c r="AI77" s="468"/>
      <c r="AJ77" s="468"/>
      <c r="AK77" s="468"/>
      <c r="AL77" s="468"/>
      <c r="AM77" s="468"/>
      <c r="AN77" s="468"/>
      <c r="AO77" s="468"/>
      <c r="AP77" s="468"/>
      <c r="AQ77" s="469"/>
      <c r="AR77" s="470" t="s">
        <v>45</v>
      </c>
      <c r="AS77" s="467"/>
      <c r="AT77" s="467"/>
      <c r="AU77" s="467"/>
      <c r="AV77" s="467"/>
      <c r="AW77" s="467"/>
      <c r="AX77" s="467" t="s">
        <v>10</v>
      </c>
      <c r="AY77" s="467"/>
      <c r="AZ77" s="467"/>
      <c r="BA77" s="467"/>
      <c r="BB77" s="467"/>
      <c r="BC77" s="467" t="s">
        <v>78</v>
      </c>
      <c r="BD77" s="467"/>
      <c r="BE77" s="467"/>
      <c r="BF77" s="467" t="s">
        <v>82</v>
      </c>
      <c r="BG77" s="467"/>
      <c r="BH77" s="467" t="s">
        <v>80</v>
      </c>
      <c r="BI77" s="467"/>
      <c r="BJ77" s="471" t="s">
        <v>52</v>
      </c>
      <c r="BK77" s="472"/>
      <c r="BL77" s="472"/>
      <c r="BM77" s="473" t="s">
        <v>69</v>
      </c>
      <c r="BN77" s="474"/>
      <c r="BO77" s="474"/>
      <c r="BP77" s="474"/>
      <c r="BQ77" s="474"/>
      <c r="BR77" s="474"/>
      <c r="BS77" s="474"/>
      <c r="BT77" s="474"/>
      <c r="BU77" s="474"/>
      <c r="BV77" s="474"/>
      <c r="BW77" s="474"/>
      <c r="BX77" s="475" t="s">
        <v>81</v>
      </c>
      <c r="BY77" s="475"/>
      <c r="BZ77" s="475"/>
      <c r="CA77" s="475"/>
      <c r="CB77" s="475"/>
      <c r="CC77" s="475"/>
      <c r="CD77" s="475"/>
      <c r="CE77" s="475"/>
      <c r="CF77" s="475"/>
      <c r="CG77" s="476"/>
    </row>
    <row r="78" customHeight="1" spans="2:85">
      <c r="B78" s="127" t="s">
        <v>16</v>
      </c>
      <c r="C78" s="287"/>
      <c r="D78" s="287"/>
      <c r="E78" s="287"/>
      <c r="F78" s="287"/>
      <c r="G78" s="287"/>
      <c r="H78" s="287"/>
      <c r="I78" s="287"/>
      <c r="J78" s="287"/>
      <c r="K78" s="287"/>
      <c r="L78" s="287"/>
      <c r="M78" s="287"/>
      <c r="N78" s="287"/>
      <c r="O78" s="287"/>
      <c r="P78" s="500" t="s">
        <v>16</v>
      </c>
      <c r="Q78" s="287"/>
      <c r="R78" s="500" t="s">
        <v>16</v>
      </c>
      <c r="S78" s="287"/>
      <c r="T78" s="271" t="s">
        <v>16</v>
      </c>
      <c r="U78" s="271"/>
      <c r="V78" s="271"/>
      <c r="W78" s="271"/>
      <c r="X78" s="271"/>
      <c r="Y78" s="271"/>
      <c r="Z78" s="271"/>
      <c r="AA78" s="271"/>
      <c r="AB78" s="271"/>
      <c r="AC78" s="271"/>
      <c r="AD78" s="271"/>
      <c r="AE78" s="271"/>
      <c r="AF78" s="271"/>
      <c r="AG78" s="271"/>
      <c r="AH78" s="271"/>
      <c r="AI78" s="271"/>
      <c r="AJ78" s="271"/>
      <c r="AK78" s="271"/>
      <c r="AL78" s="271"/>
      <c r="AM78" s="271"/>
      <c r="AN78" s="271"/>
      <c r="AO78" s="271"/>
      <c r="AP78" s="271"/>
      <c r="AQ78" s="501"/>
      <c r="AR78" s="479" t="s">
        <v>16</v>
      </c>
      <c r="AS78" s="287"/>
      <c r="AT78" s="287"/>
      <c r="AU78" s="287"/>
      <c r="AV78" s="287"/>
      <c r="AW78" s="287"/>
      <c r="AX78" s="270"/>
      <c r="AY78" s="270"/>
      <c r="AZ78" s="270"/>
      <c r="BA78" s="270"/>
      <c r="BB78" s="270"/>
      <c r="BC78" s="270"/>
      <c r="BD78" s="270"/>
      <c r="BE78" s="270"/>
      <c r="BF78" s="287"/>
      <c r="BG78" s="287"/>
      <c r="BH78" s="500" t="s">
        <v>16</v>
      </c>
      <c r="BI78" s="287"/>
      <c r="BJ78" s="502"/>
      <c r="BK78" s="502"/>
      <c r="BL78" s="502"/>
      <c r="BM78" s="271" t="s">
        <v>16</v>
      </c>
      <c r="BN78" s="271"/>
      <c r="BO78" s="271"/>
      <c r="BP78" s="271"/>
      <c r="BQ78" s="271"/>
      <c r="BR78" s="271"/>
      <c r="BS78" s="271"/>
      <c r="BT78" s="271"/>
      <c r="BU78" s="271"/>
      <c r="BV78" s="271"/>
      <c r="BW78" s="271"/>
      <c r="BX78" s="271"/>
      <c r="BY78" s="271"/>
      <c r="BZ78" s="271"/>
      <c r="CA78" s="271"/>
      <c r="CB78" s="271"/>
      <c r="CC78" s="271"/>
      <c r="CD78" s="271"/>
      <c r="CE78" s="271"/>
      <c r="CF78" s="271"/>
      <c r="CG78" s="272"/>
    </row>
    <row r="79" customHeight="1" spans="2:85">
      <c r="B79" s="127"/>
      <c r="C79" s="287"/>
      <c r="D79" s="287"/>
      <c r="E79" s="287"/>
      <c r="F79" s="287"/>
      <c r="G79" s="287"/>
      <c r="H79" s="287"/>
      <c r="I79" s="287"/>
      <c r="J79" s="287"/>
      <c r="K79" s="287"/>
      <c r="L79" s="287"/>
      <c r="M79" s="287"/>
      <c r="N79" s="287"/>
      <c r="O79" s="287"/>
      <c r="P79" s="287"/>
      <c r="Q79" s="287"/>
      <c r="R79" s="287"/>
      <c r="S79" s="287"/>
      <c r="T79" s="271"/>
      <c r="U79" s="271"/>
      <c r="V79" s="271"/>
      <c r="W79" s="271"/>
      <c r="X79" s="271"/>
      <c r="Y79" s="271"/>
      <c r="Z79" s="271"/>
      <c r="AA79" s="271"/>
      <c r="AB79" s="271"/>
      <c r="AC79" s="271"/>
      <c r="AD79" s="271"/>
      <c r="AE79" s="271"/>
      <c r="AF79" s="271"/>
      <c r="AG79" s="271"/>
      <c r="AH79" s="271"/>
      <c r="AI79" s="271"/>
      <c r="AJ79" s="271"/>
      <c r="AK79" s="271"/>
      <c r="AL79" s="271"/>
      <c r="AM79" s="271"/>
      <c r="AN79" s="271"/>
      <c r="AO79" s="271"/>
      <c r="AP79" s="271"/>
      <c r="AQ79" s="501"/>
      <c r="AR79" s="479"/>
      <c r="AS79" s="287"/>
      <c r="AT79" s="287"/>
      <c r="AU79" s="287"/>
      <c r="AV79" s="287"/>
      <c r="AW79" s="287"/>
      <c r="AX79" s="270"/>
      <c r="AY79" s="270"/>
      <c r="AZ79" s="270"/>
      <c r="BA79" s="270"/>
      <c r="BB79" s="270"/>
      <c r="BC79" s="270"/>
      <c r="BD79" s="270"/>
      <c r="BE79" s="270"/>
      <c r="BF79" s="287"/>
      <c r="BG79" s="287"/>
      <c r="BH79" s="287"/>
      <c r="BI79" s="287"/>
      <c r="BJ79" s="502"/>
      <c r="BK79" s="502"/>
      <c r="BL79" s="502"/>
      <c r="BM79" s="271"/>
      <c r="BN79" s="271"/>
      <c r="BO79" s="271"/>
      <c r="BP79" s="271"/>
      <c r="BQ79" s="271"/>
      <c r="BR79" s="271"/>
      <c r="BS79" s="271"/>
      <c r="BT79" s="271"/>
      <c r="BU79" s="271"/>
      <c r="BV79" s="271"/>
      <c r="BW79" s="271"/>
      <c r="BX79" s="271"/>
      <c r="BY79" s="271"/>
      <c r="BZ79" s="271"/>
      <c r="CA79" s="271"/>
      <c r="CB79" s="271"/>
      <c r="CC79" s="271"/>
      <c r="CD79" s="271"/>
      <c r="CE79" s="271"/>
      <c r="CF79" s="271"/>
      <c r="CG79" s="272"/>
    </row>
    <row r="80" customHeight="1" spans="2:85">
      <c r="B80" s="482" t="s">
        <v>16</v>
      </c>
      <c r="C80" s="483"/>
      <c r="D80" s="483"/>
      <c r="E80" s="483"/>
      <c r="F80" s="483"/>
      <c r="G80" s="483"/>
      <c r="H80" s="483"/>
      <c r="I80" s="483"/>
      <c r="J80" s="483"/>
      <c r="K80" s="483"/>
      <c r="L80" s="483"/>
      <c r="M80" s="483"/>
      <c r="N80" s="483"/>
      <c r="O80" s="483"/>
      <c r="P80" s="503" t="s">
        <v>16</v>
      </c>
      <c r="Q80" s="483"/>
      <c r="R80" s="503" t="s">
        <v>16</v>
      </c>
      <c r="S80" s="483"/>
      <c r="T80" s="484" t="s">
        <v>16</v>
      </c>
      <c r="U80" s="484"/>
      <c r="V80" s="484"/>
      <c r="W80" s="484"/>
      <c r="X80" s="484"/>
      <c r="Y80" s="484"/>
      <c r="Z80" s="484"/>
      <c r="AA80" s="484"/>
      <c r="AB80" s="484"/>
      <c r="AC80" s="484"/>
      <c r="AD80" s="484"/>
      <c r="AE80" s="484"/>
      <c r="AF80" s="484"/>
      <c r="AG80" s="484"/>
      <c r="AH80" s="484"/>
      <c r="AI80" s="484"/>
      <c r="AJ80" s="484"/>
      <c r="AK80" s="484"/>
      <c r="AL80" s="484"/>
      <c r="AM80" s="484"/>
      <c r="AN80" s="484"/>
      <c r="AO80" s="484"/>
      <c r="AP80" s="484"/>
      <c r="AQ80" s="504"/>
      <c r="AR80" s="486" t="s">
        <v>16</v>
      </c>
      <c r="AS80" s="483"/>
      <c r="AT80" s="483"/>
      <c r="AU80" s="483"/>
      <c r="AV80" s="483"/>
      <c r="AW80" s="483"/>
      <c r="AX80" s="505"/>
      <c r="AY80" s="505"/>
      <c r="AZ80" s="505"/>
      <c r="BA80" s="505"/>
      <c r="BB80" s="505"/>
      <c r="BC80" s="505"/>
      <c r="BD80" s="505"/>
      <c r="BE80" s="505"/>
      <c r="BF80" s="483"/>
      <c r="BG80" s="483"/>
      <c r="BH80" s="503" t="s">
        <v>16</v>
      </c>
      <c r="BI80" s="483"/>
      <c r="BJ80" s="506"/>
      <c r="BK80" s="506"/>
      <c r="BL80" s="506"/>
      <c r="BM80" s="484" t="s">
        <v>16</v>
      </c>
      <c r="BN80" s="484"/>
      <c r="BO80" s="484"/>
      <c r="BP80" s="484"/>
      <c r="BQ80" s="484"/>
      <c r="BR80" s="484"/>
      <c r="BS80" s="484"/>
      <c r="BT80" s="484"/>
      <c r="BU80" s="484"/>
      <c r="BV80" s="484"/>
      <c r="BW80" s="484"/>
      <c r="BX80" s="484"/>
      <c r="BY80" s="484"/>
      <c r="BZ80" s="484"/>
      <c r="CA80" s="484"/>
      <c r="CB80" s="484"/>
      <c r="CC80" s="484"/>
      <c r="CD80" s="484"/>
      <c r="CE80" s="484"/>
      <c r="CF80" s="484"/>
      <c r="CG80" s="507"/>
    </row>
    <row r="81" customHeight="1" spans="2:85">
      <c r="B81" s="482"/>
      <c r="C81" s="483"/>
      <c r="D81" s="483"/>
      <c r="E81" s="483"/>
      <c r="F81" s="483"/>
      <c r="G81" s="483"/>
      <c r="H81" s="483"/>
      <c r="I81" s="483"/>
      <c r="J81" s="483"/>
      <c r="K81" s="483"/>
      <c r="L81" s="483"/>
      <c r="M81" s="483"/>
      <c r="N81" s="483"/>
      <c r="O81" s="483"/>
      <c r="P81" s="483"/>
      <c r="Q81" s="483"/>
      <c r="R81" s="483"/>
      <c r="S81" s="483"/>
      <c r="T81" s="484"/>
      <c r="U81" s="484"/>
      <c r="V81" s="484"/>
      <c r="W81" s="484"/>
      <c r="X81" s="484"/>
      <c r="Y81" s="484"/>
      <c r="Z81" s="484"/>
      <c r="AA81" s="484"/>
      <c r="AB81" s="484"/>
      <c r="AC81" s="484"/>
      <c r="AD81" s="484"/>
      <c r="AE81" s="484"/>
      <c r="AF81" s="484"/>
      <c r="AG81" s="484"/>
      <c r="AH81" s="484"/>
      <c r="AI81" s="484"/>
      <c r="AJ81" s="484"/>
      <c r="AK81" s="484"/>
      <c r="AL81" s="484"/>
      <c r="AM81" s="484"/>
      <c r="AN81" s="484"/>
      <c r="AO81" s="484"/>
      <c r="AP81" s="484"/>
      <c r="AQ81" s="504"/>
      <c r="AR81" s="486"/>
      <c r="AS81" s="483"/>
      <c r="AT81" s="483"/>
      <c r="AU81" s="483"/>
      <c r="AV81" s="483"/>
      <c r="AW81" s="483"/>
      <c r="AX81" s="505"/>
      <c r="AY81" s="505"/>
      <c r="AZ81" s="505"/>
      <c r="BA81" s="505"/>
      <c r="BB81" s="505"/>
      <c r="BC81" s="505"/>
      <c r="BD81" s="505"/>
      <c r="BE81" s="505"/>
      <c r="BF81" s="483"/>
      <c r="BG81" s="483"/>
      <c r="BH81" s="483"/>
      <c r="BI81" s="483"/>
      <c r="BJ81" s="506"/>
      <c r="BK81" s="506"/>
      <c r="BL81" s="506"/>
      <c r="BM81" s="484"/>
      <c r="BN81" s="484"/>
      <c r="BO81" s="484"/>
      <c r="BP81" s="484"/>
      <c r="BQ81" s="484"/>
      <c r="BR81" s="484"/>
      <c r="BS81" s="484"/>
      <c r="BT81" s="484"/>
      <c r="BU81" s="484"/>
      <c r="BV81" s="484"/>
      <c r="BW81" s="484"/>
      <c r="BX81" s="484"/>
      <c r="BY81" s="484"/>
      <c r="BZ81" s="484"/>
      <c r="CA81" s="484"/>
      <c r="CB81" s="484"/>
      <c r="CC81" s="484"/>
      <c r="CD81" s="484"/>
      <c r="CE81" s="484"/>
      <c r="CF81" s="484"/>
      <c r="CG81" s="507"/>
    </row>
    <row r="82" customHeight="1" spans="2:85">
      <c r="B82" s="127" t="s">
        <v>16</v>
      </c>
      <c r="C82" s="287"/>
      <c r="D82" s="287"/>
      <c r="E82" s="287"/>
      <c r="F82" s="287"/>
      <c r="G82" s="287"/>
      <c r="H82" s="287"/>
      <c r="I82" s="287"/>
      <c r="J82" s="287"/>
      <c r="K82" s="287"/>
      <c r="L82" s="287"/>
      <c r="M82" s="287"/>
      <c r="N82" s="287"/>
      <c r="O82" s="287"/>
      <c r="P82" s="500" t="s">
        <v>16</v>
      </c>
      <c r="Q82" s="287"/>
      <c r="R82" s="500" t="s">
        <v>16</v>
      </c>
      <c r="S82" s="287"/>
      <c r="T82" s="271" t="s">
        <v>16</v>
      </c>
      <c r="U82" s="271"/>
      <c r="V82" s="271"/>
      <c r="W82" s="271"/>
      <c r="X82" s="271"/>
      <c r="Y82" s="271"/>
      <c r="Z82" s="271"/>
      <c r="AA82" s="271"/>
      <c r="AB82" s="271"/>
      <c r="AC82" s="271"/>
      <c r="AD82" s="271"/>
      <c r="AE82" s="271"/>
      <c r="AF82" s="271"/>
      <c r="AG82" s="271"/>
      <c r="AH82" s="271"/>
      <c r="AI82" s="271"/>
      <c r="AJ82" s="271"/>
      <c r="AK82" s="271"/>
      <c r="AL82" s="271"/>
      <c r="AM82" s="271"/>
      <c r="AN82" s="271"/>
      <c r="AO82" s="271"/>
      <c r="AP82" s="271"/>
      <c r="AQ82" s="501"/>
      <c r="AR82" s="479" t="s">
        <v>16</v>
      </c>
      <c r="AS82" s="287"/>
      <c r="AT82" s="287"/>
      <c r="AU82" s="287"/>
      <c r="AV82" s="287"/>
      <c r="AW82" s="287"/>
      <c r="AX82" s="270"/>
      <c r="AY82" s="270"/>
      <c r="AZ82" s="270"/>
      <c r="BA82" s="270"/>
      <c r="BB82" s="270"/>
      <c r="BC82" s="270"/>
      <c r="BD82" s="270"/>
      <c r="BE82" s="270"/>
      <c r="BF82" s="287"/>
      <c r="BG82" s="287"/>
      <c r="BH82" s="500" t="s">
        <v>16</v>
      </c>
      <c r="BI82" s="287"/>
      <c r="BJ82" s="502"/>
      <c r="BK82" s="502"/>
      <c r="BL82" s="502"/>
      <c r="BM82" s="271" t="s">
        <v>16</v>
      </c>
      <c r="BN82" s="271"/>
      <c r="BO82" s="271"/>
      <c r="BP82" s="271"/>
      <c r="BQ82" s="271"/>
      <c r="BR82" s="271"/>
      <c r="BS82" s="271"/>
      <c r="BT82" s="271"/>
      <c r="BU82" s="271"/>
      <c r="BV82" s="271"/>
      <c r="BW82" s="271"/>
      <c r="BX82" s="271"/>
      <c r="BY82" s="271"/>
      <c r="BZ82" s="271"/>
      <c r="CA82" s="271"/>
      <c r="CB82" s="271"/>
      <c r="CC82" s="271"/>
      <c r="CD82" s="271"/>
      <c r="CE82" s="271"/>
      <c r="CF82" s="271"/>
      <c r="CG82" s="272"/>
    </row>
    <row r="83" customHeight="1" spans="2:85">
      <c r="B83" s="127"/>
      <c r="C83" s="287"/>
      <c r="D83" s="287"/>
      <c r="E83" s="287"/>
      <c r="F83" s="287"/>
      <c r="G83" s="287"/>
      <c r="H83" s="287"/>
      <c r="I83" s="287"/>
      <c r="J83" s="287"/>
      <c r="K83" s="287"/>
      <c r="L83" s="287"/>
      <c r="M83" s="287"/>
      <c r="N83" s="287"/>
      <c r="O83" s="287"/>
      <c r="P83" s="287"/>
      <c r="Q83" s="287"/>
      <c r="R83" s="287"/>
      <c r="S83" s="287"/>
      <c r="T83" s="271"/>
      <c r="U83" s="271"/>
      <c r="V83" s="271"/>
      <c r="W83" s="271"/>
      <c r="X83" s="271"/>
      <c r="Y83" s="271"/>
      <c r="Z83" s="271"/>
      <c r="AA83" s="271"/>
      <c r="AB83" s="271"/>
      <c r="AC83" s="271"/>
      <c r="AD83" s="271"/>
      <c r="AE83" s="271"/>
      <c r="AF83" s="271"/>
      <c r="AG83" s="271"/>
      <c r="AH83" s="271"/>
      <c r="AI83" s="271"/>
      <c r="AJ83" s="271"/>
      <c r="AK83" s="271"/>
      <c r="AL83" s="271"/>
      <c r="AM83" s="271"/>
      <c r="AN83" s="271"/>
      <c r="AO83" s="271"/>
      <c r="AP83" s="271"/>
      <c r="AQ83" s="501"/>
      <c r="AR83" s="479"/>
      <c r="AS83" s="287"/>
      <c r="AT83" s="287"/>
      <c r="AU83" s="287"/>
      <c r="AV83" s="287"/>
      <c r="AW83" s="287"/>
      <c r="AX83" s="270"/>
      <c r="AY83" s="270"/>
      <c r="AZ83" s="270"/>
      <c r="BA83" s="270"/>
      <c r="BB83" s="270"/>
      <c r="BC83" s="270"/>
      <c r="BD83" s="270"/>
      <c r="BE83" s="270"/>
      <c r="BF83" s="287"/>
      <c r="BG83" s="287"/>
      <c r="BH83" s="287"/>
      <c r="BI83" s="287"/>
      <c r="BJ83" s="502"/>
      <c r="BK83" s="502"/>
      <c r="BL83" s="502"/>
      <c r="BM83" s="271"/>
      <c r="BN83" s="271"/>
      <c r="BO83" s="271"/>
      <c r="BP83" s="271"/>
      <c r="BQ83" s="271"/>
      <c r="BR83" s="271"/>
      <c r="BS83" s="271"/>
      <c r="BT83" s="271"/>
      <c r="BU83" s="271"/>
      <c r="BV83" s="271"/>
      <c r="BW83" s="271"/>
      <c r="BX83" s="271"/>
      <c r="BY83" s="271"/>
      <c r="BZ83" s="271"/>
      <c r="CA83" s="271"/>
      <c r="CB83" s="271"/>
      <c r="CC83" s="271"/>
      <c r="CD83" s="271"/>
      <c r="CE83" s="271"/>
      <c r="CF83" s="271"/>
      <c r="CG83" s="272"/>
    </row>
    <row r="84" customHeight="1" spans="2:85">
      <c r="B84" s="482" t="s">
        <v>16</v>
      </c>
      <c r="C84" s="483"/>
      <c r="D84" s="483"/>
      <c r="E84" s="483"/>
      <c r="F84" s="483"/>
      <c r="G84" s="483"/>
      <c r="H84" s="483"/>
      <c r="I84" s="483"/>
      <c r="J84" s="483"/>
      <c r="K84" s="483"/>
      <c r="L84" s="483"/>
      <c r="M84" s="483"/>
      <c r="N84" s="483"/>
      <c r="O84" s="483"/>
      <c r="P84" s="503" t="s">
        <v>16</v>
      </c>
      <c r="Q84" s="483"/>
      <c r="R84" s="503" t="s">
        <v>16</v>
      </c>
      <c r="S84" s="483"/>
      <c r="T84" s="484" t="s">
        <v>16</v>
      </c>
      <c r="U84" s="484"/>
      <c r="V84" s="484"/>
      <c r="W84" s="484"/>
      <c r="X84" s="484"/>
      <c r="Y84" s="484"/>
      <c r="Z84" s="484"/>
      <c r="AA84" s="484"/>
      <c r="AB84" s="484"/>
      <c r="AC84" s="484"/>
      <c r="AD84" s="484"/>
      <c r="AE84" s="484"/>
      <c r="AF84" s="484"/>
      <c r="AG84" s="484"/>
      <c r="AH84" s="484"/>
      <c r="AI84" s="484"/>
      <c r="AJ84" s="484"/>
      <c r="AK84" s="484"/>
      <c r="AL84" s="484"/>
      <c r="AM84" s="484"/>
      <c r="AN84" s="484"/>
      <c r="AO84" s="484"/>
      <c r="AP84" s="484"/>
      <c r="AQ84" s="504"/>
      <c r="AR84" s="486" t="s">
        <v>16</v>
      </c>
      <c r="AS84" s="483"/>
      <c r="AT84" s="483"/>
      <c r="AU84" s="483"/>
      <c r="AV84" s="483"/>
      <c r="AW84" s="483"/>
      <c r="AX84" s="505"/>
      <c r="AY84" s="505"/>
      <c r="AZ84" s="505"/>
      <c r="BA84" s="505"/>
      <c r="BB84" s="505"/>
      <c r="BC84" s="505"/>
      <c r="BD84" s="505"/>
      <c r="BE84" s="505"/>
      <c r="BF84" s="483"/>
      <c r="BG84" s="483"/>
      <c r="BH84" s="503" t="s">
        <v>16</v>
      </c>
      <c r="BI84" s="483"/>
      <c r="BJ84" s="506"/>
      <c r="BK84" s="506"/>
      <c r="BL84" s="506"/>
      <c r="BM84" s="484" t="s">
        <v>16</v>
      </c>
      <c r="BN84" s="484"/>
      <c r="BO84" s="484"/>
      <c r="BP84" s="484"/>
      <c r="BQ84" s="484"/>
      <c r="BR84" s="484"/>
      <c r="BS84" s="484"/>
      <c r="BT84" s="484"/>
      <c r="BU84" s="484"/>
      <c r="BV84" s="484"/>
      <c r="BW84" s="484"/>
      <c r="BX84" s="484"/>
      <c r="BY84" s="484"/>
      <c r="BZ84" s="484"/>
      <c r="CA84" s="484"/>
      <c r="CB84" s="484"/>
      <c r="CC84" s="484"/>
      <c r="CD84" s="484"/>
      <c r="CE84" s="484"/>
      <c r="CF84" s="484"/>
      <c r="CG84" s="507"/>
    </row>
    <row r="85" customHeight="1" spans="2:85">
      <c r="B85" s="488"/>
      <c r="C85" s="489"/>
      <c r="D85" s="489"/>
      <c r="E85" s="489"/>
      <c r="F85" s="489"/>
      <c r="G85" s="489"/>
      <c r="H85" s="489"/>
      <c r="I85" s="489"/>
      <c r="J85" s="489"/>
      <c r="K85" s="489"/>
      <c r="L85" s="489"/>
      <c r="M85" s="489"/>
      <c r="N85" s="489"/>
      <c r="O85" s="489"/>
      <c r="P85" s="489"/>
      <c r="Q85" s="489"/>
      <c r="R85" s="489"/>
      <c r="S85" s="489"/>
      <c r="T85" s="490"/>
      <c r="U85" s="490"/>
      <c r="V85" s="490"/>
      <c r="W85" s="490"/>
      <c r="X85" s="490"/>
      <c r="Y85" s="490"/>
      <c r="Z85" s="490"/>
      <c r="AA85" s="490"/>
      <c r="AB85" s="490"/>
      <c r="AC85" s="490"/>
      <c r="AD85" s="490"/>
      <c r="AE85" s="490"/>
      <c r="AF85" s="490"/>
      <c r="AG85" s="490"/>
      <c r="AH85" s="490"/>
      <c r="AI85" s="490"/>
      <c r="AJ85" s="490"/>
      <c r="AK85" s="490"/>
      <c r="AL85" s="490"/>
      <c r="AM85" s="490"/>
      <c r="AN85" s="490"/>
      <c r="AO85" s="490"/>
      <c r="AP85" s="490"/>
      <c r="AQ85" s="508"/>
      <c r="AR85" s="493"/>
      <c r="AS85" s="489"/>
      <c r="AT85" s="489"/>
      <c r="AU85" s="489"/>
      <c r="AV85" s="489"/>
      <c r="AW85" s="489"/>
      <c r="AX85" s="509"/>
      <c r="AY85" s="509"/>
      <c r="AZ85" s="509"/>
      <c r="BA85" s="509"/>
      <c r="BB85" s="509"/>
      <c r="BC85" s="509"/>
      <c r="BD85" s="509"/>
      <c r="BE85" s="509"/>
      <c r="BF85" s="489"/>
      <c r="BG85" s="489"/>
      <c r="BH85" s="489"/>
      <c r="BI85" s="489"/>
      <c r="BJ85" s="510"/>
      <c r="BK85" s="510"/>
      <c r="BL85" s="510"/>
      <c r="BM85" s="490"/>
      <c r="BN85" s="490"/>
      <c r="BO85" s="490"/>
      <c r="BP85" s="490"/>
      <c r="BQ85" s="490"/>
      <c r="BR85" s="490"/>
      <c r="BS85" s="490"/>
      <c r="BT85" s="490"/>
      <c r="BU85" s="490"/>
      <c r="BV85" s="490"/>
      <c r="BW85" s="490"/>
      <c r="BX85" s="490"/>
      <c r="BY85" s="490"/>
      <c r="BZ85" s="490"/>
      <c r="CA85" s="490"/>
      <c r="CB85" s="490"/>
      <c r="CC85" s="490"/>
      <c r="CD85" s="490"/>
      <c r="CE85" s="490"/>
      <c r="CF85" s="490"/>
      <c r="CG85" s="511"/>
    </row>
    <row r="86" customHeight="1" spans="2:85">
      <c r="B86" s="228"/>
      <c r="C86" s="228"/>
      <c r="D86" s="228"/>
      <c r="E86" s="228"/>
      <c r="F86" s="228"/>
      <c r="G86" s="228"/>
      <c r="H86" s="228"/>
      <c r="I86" s="228"/>
      <c r="J86" s="228"/>
      <c r="K86" s="228"/>
      <c r="L86" s="228"/>
      <c r="M86" s="228"/>
      <c r="N86" s="228"/>
      <c r="O86" s="228"/>
      <c r="P86" s="228"/>
      <c r="Q86" s="228"/>
      <c r="R86" s="228"/>
      <c r="S86" s="228"/>
      <c r="T86" s="228"/>
      <c r="U86" s="228"/>
      <c r="V86" s="228"/>
      <c r="W86" s="228"/>
      <c r="X86" s="228"/>
      <c r="Y86" s="228"/>
      <c r="Z86" s="228"/>
      <c r="AA86" s="228"/>
      <c r="AB86" s="228"/>
      <c r="AC86" s="228"/>
      <c r="AD86" s="228"/>
      <c r="AE86" s="228"/>
      <c r="AF86" s="228"/>
      <c r="AG86" s="228"/>
      <c r="AH86" s="228"/>
      <c r="AI86" s="228"/>
      <c r="AJ86" s="228"/>
      <c r="AK86" s="228"/>
      <c r="AL86" s="228"/>
      <c r="AM86" s="228"/>
      <c r="AN86" s="228"/>
      <c r="AO86" s="228"/>
      <c r="AP86" s="228"/>
      <c r="AQ86" s="228"/>
    </row>
    <row r="87" customHeight="1" spans="2:85">
      <c r="B87" s="512" t="s">
        <v>87</v>
      </c>
      <c r="C87" s="513"/>
      <c r="D87" s="513"/>
      <c r="E87" s="513"/>
      <c r="F87" s="513"/>
      <c r="G87" s="513"/>
      <c r="H87" s="513"/>
      <c r="I87" s="513"/>
      <c r="J87" s="513"/>
      <c r="K87" s="513"/>
      <c r="L87" s="513"/>
      <c r="M87" s="513"/>
      <c r="N87" s="513"/>
      <c r="O87" s="513"/>
      <c r="P87" s="513"/>
      <c r="Q87" s="513"/>
      <c r="R87" s="513"/>
      <c r="S87" s="514"/>
      <c r="T87" s="515" t="str">
        <f>".st"&amp;" "&amp;"【"&amp;角色卡!$L$17&amp;"】"&amp;角色卡!$E$17&amp;"-"&amp;"hp"&amp;角色卡!$T$24&amp;"hpmax"&amp;角色卡!$W$24&amp;"mp"&amp;角色卡!$AB$24&amp;"mpmax"&amp;角色卡!$AE$24&amp;"shm"&amp;角色卡!$Y$26&amp;"shmmax"&amp;"100"&amp;"exp"&amp;角色卡!$AJ$26&amp;"道具点"&amp;角色卡!$AE$26&amp;"体魄"&amp;角色卡!$V$17&amp;"智慧"&amp;角色卡!$V$19&amp;"心魂"&amp;角色卡!$V$21&amp;"运动"&amp;角色卡!$AT$18&amp;"操作"&amp;角色卡!$AT$19&amp;"隐秘"&amp;角色卡!$AT$20&amp;"调查"&amp;角色卡!$AT$21&amp;"洞察"&amp;角色卡!$AT$22&amp;"说服"&amp;角色卡!$AT$23&amp;"狩魂学识"&amp;角色卡!$AT$24&amp;"事件业力"&amp;角色卡!$AV$26</f>
        <v>.st 【】-hphpmaxmpmpmaxshm10shmmax100exp0道具点3体魄智慧心魂运动操作隐秘调查洞察说服狩魂学识事件业力0</v>
      </c>
      <c r="U87" s="228"/>
      <c r="V87" s="228"/>
      <c r="W87" s="228"/>
      <c r="X87" s="228"/>
      <c r="Y87" s="228"/>
      <c r="Z87" s="228"/>
      <c r="AA87" s="228"/>
      <c r="AB87" s="228"/>
      <c r="AC87" s="228"/>
      <c r="AD87" s="228"/>
      <c r="AE87" s="228"/>
      <c r="AF87" s="228"/>
      <c r="AG87" s="228"/>
      <c r="AH87" s="228"/>
      <c r="AI87" s="228"/>
      <c r="AJ87" s="228"/>
      <c r="AK87" s="228"/>
      <c r="AL87" s="228"/>
      <c r="AM87" s="228"/>
      <c r="AN87" s="228"/>
      <c r="AO87" s="228"/>
      <c r="AP87" s="228"/>
      <c r="AQ87" s="228"/>
    </row>
    <row r="88" customHeight="1" spans="2:85">
      <c r="B88" s="516"/>
      <c r="C88" s="517"/>
      <c r="D88" s="517"/>
      <c r="E88" s="517"/>
      <c r="F88" s="517"/>
      <c r="G88" s="517"/>
      <c r="H88" s="517"/>
      <c r="I88" s="517"/>
      <c r="J88" s="517"/>
      <c r="K88" s="517"/>
      <c r="L88" s="517"/>
      <c r="M88" s="517"/>
      <c r="N88" s="517"/>
      <c r="O88" s="517"/>
      <c r="P88" s="517"/>
      <c r="Q88" s="517"/>
      <c r="R88" s="517"/>
      <c r="S88" s="518"/>
      <c r="T88" s="228"/>
      <c r="U88" s="228"/>
      <c r="V88" s="228"/>
      <c r="W88" s="228"/>
      <c r="X88" s="228"/>
      <c r="Y88" s="228"/>
      <c r="Z88" s="228"/>
      <c r="AA88" s="228"/>
      <c r="AB88" s="228"/>
      <c r="AC88" s="228"/>
      <c r="AD88" s="228"/>
      <c r="AE88" s="228"/>
      <c r="AF88" s="228"/>
      <c r="AG88" s="228"/>
      <c r="AH88" s="228"/>
      <c r="AI88" s="228"/>
      <c r="AJ88" s="228"/>
      <c r="AK88" s="228"/>
      <c r="AL88" s="228"/>
      <c r="AM88" s="228"/>
      <c r="AN88" s="228"/>
      <c r="AO88" s="228"/>
      <c r="AP88" s="228"/>
      <c r="AQ88" s="228"/>
    </row>
    <row r="89" customHeight="1" spans="2:85">
      <c r="B89" s="516"/>
      <c r="C89" s="517"/>
      <c r="D89" s="517"/>
      <c r="E89" s="517"/>
      <c r="F89" s="517"/>
      <c r="G89" s="517"/>
      <c r="H89" s="517"/>
      <c r="I89" s="517"/>
      <c r="J89" s="517"/>
      <c r="K89" s="517"/>
      <c r="L89" s="517"/>
      <c r="M89" s="517"/>
      <c r="N89" s="517"/>
      <c r="O89" s="517"/>
      <c r="P89" s="517"/>
      <c r="Q89" s="517"/>
      <c r="R89" s="517"/>
      <c r="S89" s="518"/>
      <c r="T89" s="228"/>
      <c r="U89" s="228"/>
      <c r="V89" s="228"/>
      <c r="W89" s="228"/>
      <c r="X89" s="228"/>
      <c r="Y89" s="228"/>
      <c r="Z89" s="228"/>
      <c r="AA89" s="228"/>
      <c r="AB89" s="228"/>
      <c r="AC89" s="228"/>
      <c r="AD89" s="228"/>
      <c r="AE89" s="228"/>
      <c r="AF89" s="228"/>
      <c r="AG89" s="228"/>
      <c r="AH89" s="228"/>
      <c r="AI89" s="228"/>
      <c r="AJ89" s="228"/>
      <c r="AK89" s="228"/>
      <c r="AL89" s="228"/>
      <c r="AM89" s="228"/>
      <c r="AN89" s="228"/>
      <c r="AO89" s="228"/>
      <c r="AP89" s="228"/>
      <c r="AQ89" s="228"/>
    </row>
    <row r="90" customHeight="1" spans="2:85">
      <c r="B90" s="519" t="str">
        <f>T87</f>
        <v>.st 【】-hphpmaxmpmpmaxshm10shmmax100exp0道具点3体魄智慧心魂运动操作隐秘调查洞察说服狩魂学识事件业力0</v>
      </c>
      <c r="C90" s="520"/>
      <c r="D90" s="520"/>
      <c r="E90" s="520"/>
      <c r="F90" s="520"/>
      <c r="G90" s="520"/>
      <c r="H90" s="520"/>
      <c r="I90" s="520"/>
      <c r="J90" s="520"/>
      <c r="K90" s="521"/>
      <c r="L90" s="521"/>
      <c r="M90" s="521"/>
      <c r="N90" s="521"/>
      <c r="O90" s="521"/>
      <c r="P90" s="521"/>
      <c r="Q90" s="521"/>
      <c r="R90" s="521"/>
      <c r="S90" s="522"/>
      <c r="T90" s="228"/>
      <c r="U90" s="228"/>
      <c r="V90" s="228"/>
      <c r="W90" s="228"/>
      <c r="X90" s="228"/>
      <c r="Y90" s="228"/>
      <c r="Z90" s="228"/>
      <c r="AA90" s="228"/>
      <c r="AB90" s="228"/>
      <c r="AC90" s="228"/>
      <c r="AD90" s="228"/>
      <c r="AE90" s="228"/>
      <c r="AF90" s="228"/>
      <c r="AG90" s="228"/>
      <c r="AH90" s="228"/>
      <c r="AI90" s="228"/>
      <c r="AJ90" s="228"/>
      <c r="AK90" s="228"/>
      <c r="AL90" s="228"/>
      <c r="AM90" s="228"/>
      <c r="AN90" s="228"/>
      <c r="AO90" s="228"/>
      <c r="AP90" s="228"/>
      <c r="AQ90" s="228"/>
    </row>
    <row r="91" customHeight="1" spans="2:85">
      <c r="B91" s="519"/>
      <c r="C91" s="520"/>
      <c r="D91" s="520"/>
      <c r="E91" s="520"/>
      <c r="F91" s="520"/>
      <c r="G91" s="520"/>
      <c r="H91" s="520"/>
      <c r="I91" s="520"/>
      <c r="J91" s="520"/>
      <c r="K91" s="521"/>
      <c r="L91" s="521"/>
      <c r="M91" s="521"/>
      <c r="N91" s="521"/>
      <c r="O91" s="521"/>
      <c r="P91" s="521"/>
      <c r="Q91" s="521"/>
      <c r="R91" s="521"/>
      <c r="S91" s="522"/>
      <c r="T91" s="228"/>
      <c r="U91" s="228"/>
      <c r="V91" s="228"/>
      <c r="W91" s="228"/>
      <c r="X91" s="228"/>
      <c r="Y91" s="228"/>
      <c r="Z91" s="228"/>
      <c r="AA91" s="228"/>
      <c r="AB91" s="228"/>
      <c r="AC91" s="228"/>
      <c r="AD91" s="228"/>
      <c r="AE91" s="228"/>
      <c r="AF91" s="228"/>
      <c r="AG91" s="228"/>
      <c r="AH91" s="228"/>
      <c r="AI91" s="228"/>
      <c r="AJ91" s="228"/>
      <c r="AK91" s="228"/>
      <c r="AL91" s="228"/>
      <c r="AM91" s="228"/>
      <c r="AN91" s="228"/>
      <c r="AO91" s="228"/>
      <c r="AP91" s="228"/>
      <c r="AQ91" s="228"/>
    </row>
    <row r="92" customHeight="1" spans="2:85">
      <c r="B92" s="519"/>
      <c r="C92" s="520"/>
      <c r="D92" s="520"/>
      <c r="E92" s="520"/>
      <c r="F92" s="520"/>
      <c r="G92" s="520"/>
      <c r="H92" s="520"/>
      <c r="I92" s="520"/>
      <c r="J92" s="520"/>
      <c r="K92" s="521"/>
      <c r="L92" s="521"/>
      <c r="M92" s="521"/>
      <c r="N92" s="521"/>
      <c r="O92" s="521"/>
      <c r="P92" s="521"/>
      <c r="Q92" s="521"/>
      <c r="R92" s="521"/>
      <c r="S92" s="522"/>
      <c r="T92" s="228"/>
      <c r="U92" s="228"/>
      <c r="V92" s="228"/>
      <c r="W92" s="228"/>
      <c r="X92" s="228"/>
      <c r="Y92" s="228"/>
      <c r="Z92" s="228"/>
      <c r="AA92" s="228"/>
      <c r="AB92" s="228"/>
      <c r="AC92" s="228"/>
      <c r="AD92" s="228"/>
      <c r="AE92" s="228"/>
      <c r="AF92" s="228"/>
      <c r="AG92" s="228"/>
      <c r="AH92" s="228"/>
      <c r="AI92" s="228"/>
      <c r="AJ92" s="228"/>
      <c r="AK92" s="228"/>
      <c r="AL92" s="228"/>
      <c r="AM92" s="228"/>
      <c r="AN92" s="228"/>
      <c r="AO92" s="228"/>
      <c r="AP92" s="228"/>
      <c r="AQ92" s="228"/>
    </row>
    <row r="93" customHeight="1" spans="2:85">
      <c r="B93" s="519"/>
      <c r="C93" s="520"/>
      <c r="D93" s="520"/>
      <c r="E93" s="520"/>
      <c r="F93" s="520"/>
      <c r="G93" s="520"/>
      <c r="H93" s="520"/>
      <c r="I93" s="520"/>
      <c r="J93" s="520"/>
      <c r="K93" s="521"/>
      <c r="L93" s="521"/>
      <c r="M93" s="521"/>
      <c r="N93" s="521"/>
      <c r="O93" s="521"/>
      <c r="P93" s="521"/>
      <c r="Q93" s="521"/>
      <c r="R93" s="521"/>
      <c r="S93" s="522"/>
      <c r="T93" s="228"/>
      <c r="U93" s="228"/>
      <c r="V93" s="228"/>
      <c r="W93" s="228"/>
      <c r="X93" s="228"/>
      <c r="Y93" s="228"/>
      <c r="Z93" s="228"/>
      <c r="AA93" s="228"/>
      <c r="AB93" s="228"/>
      <c r="AC93" s="228"/>
      <c r="AD93" s="228"/>
      <c r="AE93" s="228"/>
      <c r="AF93" s="228"/>
      <c r="AG93" s="228"/>
      <c r="AH93" s="228"/>
      <c r="AI93" s="228"/>
      <c r="AJ93" s="228"/>
      <c r="AK93" s="228"/>
      <c r="AL93" s="228"/>
      <c r="AM93" s="228"/>
      <c r="AN93" s="228"/>
      <c r="AO93" s="228"/>
      <c r="AP93" s="228"/>
      <c r="AQ93" s="228"/>
    </row>
    <row r="94" customHeight="1" spans="2:85">
      <c r="B94" s="519"/>
      <c r="C94" s="520"/>
      <c r="D94" s="520"/>
      <c r="E94" s="520"/>
      <c r="F94" s="520"/>
      <c r="G94" s="520"/>
      <c r="H94" s="520"/>
      <c r="I94" s="520"/>
      <c r="J94" s="520"/>
      <c r="K94" s="521"/>
      <c r="L94" s="521"/>
      <c r="M94" s="521"/>
      <c r="N94" s="521"/>
      <c r="O94" s="521"/>
      <c r="P94" s="521"/>
      <c r="Q94" s="521"/>
      <c r="R94" s="521"/>
      <c r="S94" s="522"/>
      <c r="T94" s="228"/>
      <c r="U94" s="228"/>
      <c r="V94" s="228"/>
      <c r="W94" s="228"/>
      <c r="X94" s="228"/>
      <c r="Y94" s="228"/>
      <c r="Z94" s="228"/>
      <c r="AA94" s="228"/>
      <c r="AB94" s="228"/>
      <c r="AC94" s="228"/>
      <c r="AD94" s="228"/>
      <c r="AE94" s="228"/>
      <c r="AF94" s="228"/>
      <c r="AG94" s="228"/>
      <c r="AH94" s="228"/>
      <c r="AI94" s="228"/>
      <c r="AJ94" s="228"/>
      <c r="AK94" s="228"/>
      <c r="AL94" s="228"/>
      <c r="AM94" s="228"/>
      <c r="AN94" s="228"/>
      <c r="AO94" s="228"/>
      <c r="AP94" s="228"/>
      <c r="AQ94" s="228"/>
    </row>
    <row r="95" customHeight="1" spans="2:85">
      <c r="B95" s="519"/>
      <c r="C95" s="520"/>
      <c r="D95" s="520"/>
      <c r="E95" s="520"/>
      <c r="F95" s="520"/>
      <c r="G95" s="520"/>
      <c r="H95" s="520"/>
      <c r="I95" s="520"/>
      <c r="J95" s="520"/>
      <c r="K95" s="521"/>
      <c r="L95" s="521"/>
      <c r="M95" s="521"/>
      <c r="N95" s="521"/>
      <c r="O95" s="521"/>
      <c r="P95" s="521"/>
      <c r="Q95" s="521"/>
      <c r="R95" s="521"/>
      <c r="S95" s="522"/>
      <c r="T95" s="228"/>
      <c r="U95" s="228"/>
      <c r="V95" s="228"/>
      <c r="W95" s="228"/>
      <c r="X95" s="228"/>
      <c r="Y95" s="228"/>
      <c r="Z95" s="228"/>
      <c r="AA95" s="228"/>
      <c r="AB95" s="228"/>
      <c r="AC95" s="228"/>
      <c r="AD95" s="228"/>
      <c r="AE95" s="228"/>
      <c r="AF95" s="228"/>
      <c r="AG95" s="228"/>
      <c r="AH95" s="228"/>
      <c r="AI95" s="228"/>
      <c r="AJ95" s="228"/>
      <c r="AK95" s="228"/>
      <c r="AL95" s="228"/>
      <c r="AM95" s="228"/>
      <c r="AN95" s="228"/>
      <c r="AO95" s="228"/>
      <c r="AP95" s="228"/>
      <c r="AQ95" s="228"/>
    </row>
    <row r="96" customHeight="1" spans="2:85">
      <c r="B96" s="519"/>
      <c r="C96" s="520"/>
      <c r="D96" s="520"/>
      <c r="E96" s="520"/>
      <c r="F96" s="520"/>
      <c r="G96" s="520"/>
      <c r="H96" s="520"/>
      <c r="I96" s="520"/>
      <c r="J96" s="520"/>
      <c r="K96" s="521"/>
      <c r="L96" s="521"/>
      <c r="M96" s="521"/>
      <c r="N96" s="521"/>
      <c r="O96" s="521"/>
      <c r="P96" s="521"/>
      <c r="Q96" s="521"/>
      <c r="R96" s="521"/>
      <c r="S96" s="522"/>
      <c r="T96" s="228"/>
      <c r="U96" s="228"/>
      <c r="V96" s="228"/>
      <c r="W96" s="228"/>
      <c r="X96" s="228"/>
      <c r="Y96" s="228"/>
      <c r="Z96" s="228"/>
      <c r="AA96" s="228"/>
      <c r="AB96" s="228"/>
      <c r="AC96" s="228"/>
      <c r="AD96" s="228"/>
      <c r="AE96" s="228"/>
      <c r="AF96" s="228"/>
      <c r="AG96" s="228"/>
      <c r="AH96" s="228"/>
      <c r="AI96" s="228"/>
      <c r="AJ96" s="228"/>
      <c r="AK96" s="228"/>
      <c r="AL96" s="228"/>
      <c r="AM96" s="228"/>
      <c r="AN96" s="228"/>
      <c r="AO96" s="228"/>
      <c r="AP96" s="228"/>
      <c r="AQ96" s="228"/>
    </row>
    <row r="97" customHeight="1" spans="2:43">
      <c r="B97" s="519"/>
      <c r="C97" s="520"/>
      <c r="D97" s="520"/>
      <c r="E97" s="520"/>
      <c r="F97" s="520"/>
      <c r="G97" s="520"/>
      <c r="H97" s="520"/>
      <c r="I97" s="520"/>
      <c r="J97" s="520"/>
      <c r="K97" s="521"/>
      <c r="L97" s="521"/>
      <c r="M97" s="521"/>
      <c r="N97" s="521"/>
      <c r="O97" s="521"/>
      <c r="P97" s="521"/>
      <c r="Q97" s="521"/>
      <c r="R97" s="521"/>
      <c r="S97" s="522"/>
      <c r="T97" s="228"/>
      <c r="U97" s="228"/>
      <c r="V97" s="228"/>
      <c r="W97" s="228"/>
      <c r="X97" s="228"/>
      <c r="Y97" s="228"/>
      <c r="Z97" s="228"/>
      <c r="AA97" s="228"/>
      <c r="AB97" s="228"/>
      <c r="AC97" s="228"/>
      <c r="AD97" s="228"/>
      <c r="AE97" s="228"/>
      <c r="AF97" s="228"/>
      <c r="AG97" s="228"/>
      <c r="AH97" s="228"/>
      <c r="AI97" s="228"/>
      <c r="AJ97" s="228"/>
      <c r="AK97" s="228"/>
      <c r="AL97" s="228"/>
      <c r="AM97" s="228"/>
      <c r="AN97" s="228"/>
      <c r="AO97" s="228"/>
      <c r="AP97" s="228"/>
      <c r="AQ97" s="228"/>
    </row>
    <row r="98" customHeight="1" spans="2:43">
      <c r="B98" s="519"/>
      <c r="C98" s="520"/>
      <c r="D98" s="520"/>
      <c r="E98" s="520"/>
      <c r="F98" s="520"/>
      <c r="G98" s="520"/>
      <c r="H98" s="520"/>
      <c r="I98" s="520"/>
      <c r="J98" s="520"/>
      <c r="K98" s="521"/>
      <c r="L98" s="521"/>
      <c r="M98" s="521"/>
      <c r="N98" s="521"/>
      <c r="O98" s="521"/>
      <c r="P98" s="521"/>
      <c r="Q98" s="521"/>
      <c r="R98" s="521"/>
      <c r="S98" s="522"/>
      <c r="T98" s="228"/>
      <c r="U98" s="228"/>
      <c r="V98" s="228"/>
      <c r="W98" s="228"/>
      <c r="X98" s="228"/>
      <c r="Y98" s="228"/>
      <c r="Z98" s="228"/>
      <c r="AA98" s="228"/>
      <c r="AB98" s="228"/>
      <c r="AC98" s="228"/>
      <c r="AD98" s="228"/>
      <c r="AE98" s="228"/>
      <c r="AF98" s="228"/>
      <c r="AG98" s="228"/>
      <c r="AH98" s="228"/>
      <c r="AI98" s="228"/>
      <c r="AJ98" s="228"/>
      <c r="AK98" s="228"/>
      <c r="AL98" s="228"/>
      <c r="AM98" s="228"/>
      <c r="AN98" s="228"/>
      <c r="AO98" s="228"/>
      <c r="AP98" s="228"/>
      <c r="AQ98" s="228"/>
    </row>
    <row r="99" customHeight="1" spans="2:43">
      <c r="B99" s="519"/>
      <c r="C99" s="520"/>
      <c r="D99" s="520"/>
      <c r="E99" s="520"/>
      <c r="F99" s="520"/>
      <c r="G99" s="520"/>
      <c r="H99" s="520"/>
      <c r="I99" s="520"/>
      <c r="J99" s="520"/>
      <c r="K99" s="521"/>
      <c r="L99" s="521"/>
      <c r="M99" s="521"/>
      <c r="N99" s="521"/>
      <c r="O99" s="521"/>
      <c r="P99" s="521"/>
      <c r="Q99" s="521"/>
      <c r="R99" s="521"/>
      <c r="S99" s="522"/>
      <c r="T99" s="228"/>
      <c r="U99" s="228"/>
      <c r="V99" s="228"/>
      <c r="W99" s="228"/>
      <c r="X99" s="228"/>
      <c r="Y99" s="228"/>
      <c r="Z99" s="228"/>
      <c r="AA99" s="228"/>
      <c r="AB99" s="228"/>
      <c r="AC99" s="228"/>
      <c r="AD99" s="228"/>
      <c r="AE99" s="228"/>
      <c r="AF99" s="228"/>
      <c r="AG99" s="228"/>
      <c r="AH99" s="228"/>
      <c r="AI99" s="228"/>
      <c r="AJ99" s="228"/>
      <c r="AK99" s="228"/>
      <c r="AL99" s="228"/>
      <c r="AM99" s="228"/>
      <c r="AN99" s="228"/>
      <c r="AO99" s="228"/>
      <c r="AP99" s="228"/>
      <c r="AQ99" s="228"/>
    </row>
    <row r="100" customHeight="1" spans="2:43">
      <c r="B100" s="523"/>
      <c r="C100" s="524"/>
      <c r="D100" s="524"/>
      <c r="E100" s="524"/>
      <c r="F100" s="524"/>
      <c r="G100" s="524"/>
      <c r="H100" s="524"/>
      <c r="I100" s="524"/>
      <c r="J100" s="524"/>
      <c r="K100" s="525"/>
      <c r="L100" s="525"/>
      <c r="M100" s="525"/>
      <c r="N100" s="525"/>
      <c r="O100" s="525"/>
      <c r="P100" s="525"/>
      <c r="Q100" s="525"/>
      <c r="R100" s="525"/>
      <c r="S100" s="526"/>
      <c r="T100" s="228"/>
      <c r="U100" s="228"/>
      <c r="V100" s="228"/>
      <c r="W100" s="228"/>
      <c r="X100" s="228"/>
      <c r="Y100" s="228"/>
      <c r="Z100" s="228"/>
      <c r="AA100" s="228"/>
      <c r="AB100" s="228"/>
      <c r="AC100" s="228"/>
      <c r="AD100" s="228"/>
      <c r="AE100" s="228"/>
      <c r="AF100" s="228"/>
      <c r="AG100" s="228"/>
      <c r="AH100" s="228"/>
      <c r="AI100" s="228"/>
      <c r="AJ100" s="228"/>
      <c r="AK100" s="228"/>
      <c r="AL100" s="228"/>
      <c r="AM100" s="228"/>
      <c r="AN100" s="228"/>
      <c r="AO100" s="228"/>
      <c r="AP100" s="228"/>
      <c r="AQ100" s="228"/>
    </row>
  </sheetData>
  <sheetProtection sheet="1" objects="1"/>
  <mergeCells count="532">
    <mergeCell ref="B1:CG1"/>
    <mergeCell ref="B2:CG2"/>
    <mergeCell ref="Q4:AW4"/>
    <mergeCell ref="AY4:CG4"/>
    <mergeCell ref="AY5:BB5"/>
    <mergeCell ref="BC5:BF5"/>
    <mergeCell ref="BG5:CG5"/>
    <mergeCell ref="Q7:AW7"/>
    <mergeCell ref="Q14:AW14"/>
    <mergeCell ref="B16:O16"/>
    <mergeCell ref="Q16:AF16"/>
    <mergeCell ref="AH16:AW16"/>
    <mergeCell ref="B17:D17"/>
    <mergeCell ref="E17:H17"/>
    <mergeCell ref="L17:O17"/>
    <mergeCell ref="AH17:AK17"/>
    <mergeCell ref="AL17:AO17"/>
    <mergeCell ref="AP17:AS17"/>
    <mergeCell ref="AT17:AW17"/>
    <mergeCell ref="B18:D18"/>
    <mergeCell ref="E18:H18"/>
    <mergeCell ref="L18:O18"/>
    <mergeCell ref="AH18:AK18"/>
    <mergeCell ref="AL18:AO18"/>
    <mergeCell ref="AP18:AS18"/>
    <mergeCell ref="AT18:AW18"/>
    <mergeCell ref="B19:O19"/>
    <mergeCell ref="AH19:AK19"/>
    <mergeCell ref="AL19:AO19"/>
    <mergeCell ref="AP19:AS19"/>
    <mergeCell ref="AT19:AW19"/>
    <mergeCell ref="AZ19:BI19"/>
    <mergeCell ref="BK19:BU19"/>
    <mergeCell ref="BW19:CG19"/>
    <mergeCell ref="AH20:AK20"/>
    <mergeCell ref="AL20:AO20"/>
    <mergeCell ref="AP20:AS20"/>
    <mergeCell ref="AT20:AW20"/>
    <mergeCell ref="AH21:AK21"/>
    <mergeCell ref="AL21:AO21"/>
    <mergeCell ref="AP21:AS21"/>
    <mergeCell ref="AT21:AW21"/>
    <mergeCell ref="AH22:AK22"/>
    <mergeCell ref="AL22:AO22"/>
    <mergeCell ref="AP22:AS22"/>
    <mergeCell ref="AT22:AW22"/>
    <mergeCell ref="AH23:AK23"/>
    <mergeCell ref="AL23:AO23"/>
    <mergeCell ref="AP23:AS23"/>
    <mergeCell ref="AT23:AW23"/>
    <mergeCell ref="B24:F24"/>
    <mergeCell ref="G24:O24"/>
    <mergeCell ref="AH24:AK24"/>
    <mergeCell ref="AL24:AO24"/>
    <mergeCell ref="AP24:AS24"/>
    <mergeCell ref="AT24:AW24"/>
    <mergeCell ref="B25:O25"/>
    <mergeCell ref="AH25:AL25"/>
    <mergeCell ref="AM25:AO25"/>
    <mergeCell ref="AP25:AT25"/>
    <mergeCell ref="AU25:AW25"/>
    <mergeCell ref="Q29:AF29"/>
    <mergeCell ref="AH29:AW29"/>
    <mergeCell ref="Q30:AF30"/>
    <mergeCell ref="Q31:AF31"/>
    <mergeCell ref="Q32:AF32"/>
    <mergeCell ref="C34:AQ34"/>
    <mergeCell ref="AS34:CG34"/>
    <mergeCell ref="B37:AQ37"/>
    <mergeCell ref="AR37:CG37"/>
    <mergeCell ref="B38:G38"/>
    <mergeCell ref="H38:L38"/>
    <mergeCell ref="M38:O38"/>
    <mergeCell ref="P38:Q38"/>
    <mergeCell ref="R38:S38"/>
    <mergeCell ref="T38:AG38"/>
    <mergeCell ref="AH38:AQ38"/>
    <mergeCell ref="AR38:AW38"/>
    <mergeCell ref="AX38:BB38"/>
    <mergeCell ref="BC38:BE38"/>
    <mergeCell ref="BF38:BG38"/>
    <mergeCell ref="BH38:BI38"/>
    <mergeCell ref="BJ38:BL38"/>
    <mergeCell ref="BM38:BW38"/>
    <mergeCell ref="BX38:CG38"/>
    <mergeCell ref="B75:CG75"/>
    <mergeCell ref="B76:AQ76"/>
    <mergeCell ref="AR76:CG76"/>
    <mergeCell ref="B77:G77"/>
    <mergeCell ref="H77:L77"/>
    <mergeCell ref="M77:O77"/>
    <mergeCell ref="P77:Q77"/>
    <mergeCell ref="R77:S77"/>
    <mergeCell ref="T77:AG77"/>
    <mergeCell ref="AH77:AQ77"/>
    <mergeCell ref="AR77:AW77"/>
    <mergeCell ref="AX77:BB77"/>
    <mergeCell ref="BC77:BE77"/>
    <mergeCell ref="BF77:BG77"/>
    <mergeCell ref="BH77:BI77"/>
    <mergeCell ref="BJ77:BL77"/>
    <mergeCell ref="BM77:BW77"/>
    <mergeCell ref="BX77:CG77"/>
    <mergeCell ref="V24:V25"/>
    <mergeCell ref="AD24:AD25"/>
    <mergeCell ref="BF22:BF25"/>
    <mergeCell ref="Q17:S18"/>
    <mergeCell ref="T17:U18"/>
    <mergeCell ref="V17:W18"/>
    <mergeCell ref="X17:AB18"/>
    <mergeCell ref="AC17:AF18"/>
    <mergeCell ref="Q19:S20"/>
    <mergeCell ref="T19:U20"/>
    <mergeCell ref="V19:W20"/>
    <mergeCell ref="X19:AB20"/>
    <mergeCell ref="AC19:AF20"/>
    <mergeCell ref="BD22:BE23"/>
    <mergeCell ref="BH22:BI23"/>
    <mergeCell ref="AY6:BB7"/>
    <mergeCell ref="BC6:BF7"/>
    <mergeCell ref="BC8:BF9"/>
    <mergeCell ref="BC10:BF11"/>
    <mergeCell ref="BC12:BF13"/>
    <mergeCell ref="BC14:BF15"/>
    <mergeCell ref="BG6:CG7"/>
    <mergeCell ref="BG8:CG9"/>
    <mergeCell ref="BG10:CG11"/>
    <mergeCell ref="BG12:CG13"/>
    <mergeCell ref="BG14:CG15"/>
    <mergeCell ref="Q24:S25"/>
    <mergeCell ref="T24:U25"/>
    <mergeCell ref="AB24:AC25"/>
    <mergeCell ref="BD24:BE25"/>
    <mergeCell ref="BH24:BI25"/>
    <mergeCell ref="Y24:AA25"/>
    <mergeCell ref="W24:X25"/>
    <mergeCell ref="AE24:AF25"/>
    <mergeCell ref="BJ22:BM23"/>
    <mergeCell ref="BV22:BY23"/>
    <mergeCell ref="BN22:BU23"/>
    <mergeCell ref="BZ22:CG23"/>
    <mergeCell ref="BJ20:BM21"/>
    <mergeCell ref="BV20:BY21"/>
    <mergeCell ref="BN20:BU21"/>
    <mergeCell ref="BZ20:CG21"/>
    <mergeCell ref="B39:G40"/>
    <mergeCell ref="AR39:AW40"/>
    <mergeCell ref="M39:O40"/>
    <mergeCell ref="BC39:BE40"/>
    <mergeCell ref="P39:Q40"/>
    <mergeCell ref="R39:S40"/>
    <mergeCell ref="BF39:BG40"/>
    <mergeCell ref="BH39:BI40"/>
    <mergeCell ref="T39:AG40"/>
    <mergeCell ref="P41:Q42"/>
    <mergeCell ref="R41:S42"/>
    <mergeCell ref="BF41:BG42"/>
    <mergeCell ref="BH41:BI42"/>
    <mergeCell ref="P43:Q44"/>
    <mergeCell ref="R43:S44"/>
    <mergeCell ref="BF43:BG44"/>
    <mergeCell ref="BH43:BI44"/>
    <mergeCell ref="P45:Q46"/>
    <mergeCell ref="R45:S46"/>
    <mergeCell ref="BF45:BG46"/>
    <mergeCell ref="BH45:BI46"/>
    <mergeCell ref="B41:G42"/>
    <mergeCell ref="AR41:AW42"/>
    <mergeCell ref="B43:G44"/>
    <mergeCell ref="AR43:AW44"/>
    <mergeCell ref="B45:G46"/>
    <mergeCell ref="AR45:AW46"/>
    <mergeCell ref="M41:O42"/>
    <mergeCell ref="BC41:BE42"/>
    <mergeCell ref="M43:O44"/>
    <mergeCell ref="BC43:BE44"/>
    <mergeCell ref="M45:O46"/>
    <mergeCell ref="BC45:BE46"/>
    <mergeCell ref="T41:AG42"/>
    <mergeCell ref="T43:AG44"/>
    <mergeCell ref="T45:AG46"/>
    <mergeCell ref="B47:G48"/>
    <mergeCell ref="AR47:AW48"/>
    <mergeCell ref="M47:O48"/>
    <mergeCell ref="BC47:BE48"/>
    <mergeCell ref="P47:Q48"/>
    <mergeCell ref="R47:S48"/>
    <mergeCell ref="BF47:BG48"/>
    <mergeCell ref="BH47:BI48"/>
    <mergeCell ref="T47:AG48"/>
    <mergeCell ref="B49:G50"/>
    <mergeCell ref="AR49:AW50"/>
    <mergeCell ref="M49:O50"/>
    <mergeCell ref="BC49:BE50"/>
    <mergeCell ref="P49:Q50"/>
    <mergeCell ref="R49:S50"/>
    <mergeCell ref="BF49:BG50"/>
    <mergeCell ref="BH49:BI50"/>
    <mergeCell ref="T49:AG50"/>
    <mergeCell ref="B51:G52"/>
    <mergeCell ref="AR51:AW52"/>
    <mergeCell ref="M51:O52"/>
    <mergeCell ref="BC51:BE52"/>
    <mergeCell ref="P51:Q52"/>
    <mergeCell ref="R51:S52"/>
    <mergeCell ref="BF51:BG52"/>
    <mergeCell ref="BH51:BI52"/>
    <mergeCell ref="T51:AG52"/>
    <mergeCell ref="B53:G54"/>
    <mergeCell ref="AR53:AW54"/>
    <mergeCell ref="M53:O54"/>
    <mergeCell ref="BC53:BE54"/>
    <mergeCell ref="P53:Q54"/>
    <mergeCell ref="R53:S54"/>
    <mergeCell ref="BF53:BG54"/>
    <mergeCell ref="BH53:BI54"/>
    <mergeCell ref="T53:AG54"/>
    <mergeCell ref="P55:Q56"/>
    <mergeCell ref="R55:S56"/>
    <mergeCell ref="BF55:BG56"/>
    <mergeCell ref="BH55:BI56"/>
    <mergeCell ref="P57:Q58"/>
    <mergeCell ref="R57:S58"/>
    <mergeCell ref="BF57:BG58"/>
    <mergeCell ref="BH57:BI58"/>
    <mergeCell ref="P59:Q60"/>
    <mergeCell ref="R59:S60"/>
    <mergeCell ref="BF59:BG60"/>
    <mergeCell ref="BH59:BI60"/>
    <mergeCell ref="P61:Q62"/>
    <mergeCell ref="R61:S62"/>
    <mergeCell ref="BF61:BG62"/>
    <mergeCell ref="BH61:BI62"/>
    <mergeCell ref="P63:Q64"/>
    <mergeCell ref="R63:S64"/>
    <mergeCell ref="BF63:BG64"/>
    <mergeCell ref="BH63:BI64"/>
    <mergeCell ref="P65:Q66"/>
    <mergeCell ref="R65:S66"/>
    <mergeCell ref="BF65:BG66"/>
    <mergeCell ref="BH65:BI66"/>
    <mergeCell ref="P67:Q68"/>
    <mergeCell ref="R67:S68"/>
    <mergeCell ref="BF67:BG68"/>
    <mergeCell ref="BH67:BI68"/>
    <mergeCell ref="P69:Q70"/>
    <mergeCell ref="R69:S70"/>
    <mergeCell ref="BF69:BG70"/>
    <mergeCell ref="BH69:BI70"/>
    <mergeCell ref="B55:G56"/>
    <mergeCell ref="AR55:AW56"/>
    <mergeCell ref="B57:G58"/>
    <mergeCell ref="AR57:AW58"/>
    <mergeCell ref="B59:G60"/>
    <mergeCell ref="AR59:AW60"/>
    <mergeCell ref="B61:G62"/>
    <mergeCell ref="AR61:AW62"/>
    <mergeCell ref="B63:G64"/>
    <mergeCell ref="AR63:AW64"/>
    <mergeCell ref="B65:G66"/>
    <mergeCell ref="AR65:AW66"/>
    <mergeCell ref="B67:G68"/>
    <mergeCell ref="AR67:AW68"/>
    <mergeCell ref="B69:G70"/>
    <mergeCell ref="AR69:AW70"/>
    <mergeCell ref="M55:O56"/>
    <mergeCell ref="BC55:BE56"/>
    <mergeCell ref="M57:O58"/>
    <mergeCell ref="BC57:BE58"/>
    <mergeCell ref="M59:O60"/>
    <mergeCell ref="BC59:BE60"/>
    <mergeCell ref="M61:O62"/>
    <mergeCell ref="BC61:BE62"/>
    <mergeCell ref="M63:O64"/>
    <mergeCell ref="BC63:BE64"/>
    <mergeCell ref="M65:O66"/>
    <mergeCell ref="BC65:BE66"/>
    <mergeCell ref="M67:O68"/>
    <mergeCell ref="BC67:BE68"/>
    <mergeCell ref="M69:O70"/>
    <mergeCell ref="BC69:BE70"/>
    <mergeCell ref="T55:AG56"/>
    <mergeCell ref="T57:AG58"/>
    <mergeCell ref="T59:AG60"/>
    <mergeCell ref="T61:AG62"/>
    <mergeCell ref="T63:AG64"/>
    <mergeCell ref="T65:AG66"/>
    <mergeCell ref="T67:AG68"/>
    <mergeCell ref="T69:AG70"/>
    <mergeCell ref="H39:L40"/>
    <mergeCell ref="AH39:AQ40"/>
    <mergeCell ref="H41:L42"/>
    <mergeCell ref="AH41:AQ42"/>
    <mergeCell ref="H43:L44"/>
    <mergeCell ref="H45:L46"/>
    <mergeCell ref="H47:L48"/>
    <mergeCell ref="AH43:AQ44"/>
    <mergeCell ref="AH45:AQ46"/>
    <mergeCell ref="AH47:AQ48"/>
    <mergeCell ref="H49:L50"/>
    <mergeCell ref="AH49:AQ50"/>
    <mergeCell ref="H51:L52"/>
    <mergeCell ref="AH51:AQ52"/>
    <mergeCell ref="H53:L54"/>
    <mergeCell ref="AH53:AQ54"/>
    <mergeCell ref="H55:L56"/>
    <mergeCell ref="AH55:AQ56"/>
    <mergeCell ref="P71:Q72"/>
    <mergeCell ref="R71:S72"/>
    <mergeCell ref="BF71:BG72"/>
    <mergeCell ref="BH71:BI72"/>
    <mergeCell ref="B71:G72"/>
    <mergeCell ref="AR71:AW72"/>
    <mergeCell ref="H57:L58"/>
    <mergeCell ref="H59:L60"/>
    <mergeCell ref="H61:L62"/>
    <mergeCell ref="H63:L64"/>
    <mergeCell ref="H65:L66"/>
    <mergeCell ref="H67:L68"/>
    <mergeCell ref="H69:L70"/>
    <mergeCell ref="H71:L72"/>
    <mergeCell ref="M71:O72"/>
    <mergeCell ref="BC71:BE72"/>
    <mergeCell ref="T71:AG72"/>
    <mergeCell ref="AH57:AQ58"/>
    <mergeCell ref="AH59:AQ60"/>
    <mergeCell ref="AH61:AQ62"/>
    <mergeCell ref="AH63:AQ64"/>
    <mergeCell ref="AH65:AQ66"/>
    <mergeCell ref="AH67:AQ68"/>
    <mergeCell ref="AH69:AQ70"/>
    <mergeCell ref="AH71:AQ72"/>
    <mergeCell ref="AX39:BB40"/>
    <mergeCell ref="BJ39:BL40"/>
    <mergeCell ref="BM39:BW40"/>
    <mergeCell ref="BX39:CG40"/>
    <mergeCell ref="AX41:BB42"/>
    <mergeCell ref="AX43:BB44"/>
    <mergeCell ref="AX45:BB46"/>
    <mergeCell ref="AX47:BB48"/>
    <mergeCell ref="AX49:BB50"/>
    <mergeCell ref="AX51:BB52"/>
    <mergeCell ref="AX53:BB54"/>
    <mergeCell ref="AX55:BB56"/>
    <mergeCell ref="AX57:BB58"/>
    <mergeCell ref="AX59:BB60"/>
    <mergeCell ref="AX61:BB62"/>
    <mergeCell ref="AX63:BB64"/>
    <mergeCell ref="AX65:BB66"/>
    <mergeCell ref="AX67:BB68"/>
    <mergeCell ref="AX69:BB70"/>
    <mergeCell ref="AX71:BB72"/>
    <mergeCell ref="BJ41:BL42"/>
    <mergeCell ref="BJ43:BL44"/>
    <mergeCell ref="BJ45:BL46"/>
    <mergeCell ref="BJ47:BL48"/>
    <mergeCell ref="BJ49:BL50"/>
    <mergeCell ref="BJ51:BL52"/>
    <mergeCell ref="BJ53:BL54"/>
    <mergeCell ref="BJ55:BL56"/>
    <mergeCell ref="BJ57:BL58"/>
    <mergeCell ref="BJ59:BL60"/>
    <mergeCell ref="BJ61:BL62"/>
    <mergeCell ref="BJ63:BL64"/>
    <mergeCell ref="BJ65:BL66"/>
    <mergeCell ref="BJ67:BL68"/>
    <mergeCell ref="BJ69:BL70"/>
    <mergeCell ref="BJ71:BL72"/>
    <mergeCell ref="BM41:BW42"/>
    <mergeCell ref="BM43:BW44"/>
    <mergeCell ref="BM45:BW46"/>
    <mergeCell ref="BM47:BW48"/>
    <mergeCell ref="BM49:BW50"/>
    <mergeCell ref="BM51:BW52"/>
    <mergeCell ref="BM53:BW54"/>
    <mergeCell ref="BM55:BW56"/>
    <mergeCell ref="BM57:BW58"/>
    <mergeCell ref="BM59:BW60"/>
    <mergeCell ref="BM61:BW62"/>
    <mergeCell ref="BM63:BW64"/>
    <mergeCell ref="BM65:BW66"/>
    <mergeCell ref="BM67:BW68"/>
    <mergeCell ref="BM69:BW70"/>
    <mergeCell ref="BM71:BW72"/>
    <mergeCell ref="BX41:CG42"/>
    <mergeCell ref="BX43:CG44"/>
    <mergeCell ref="BX45:CG46"/>
    <mergeCell ref="BX47:CG48"/>
    <mergeCell ref="BX49:CG50"/>
    <mergeCell ref="BX51:CG52"/>
    <mergeCell ref="BX53:CG54"/>
    <mergeCell ref="BX55:CG56"/>
    <mergeCell ref="BX57:CG58"/>
    <mergeCell ref="BX59:CG60"/>
    <mergeCell ref="BX61:CG62"/>
    <mergeCell ref="BX63:CG64"/>
    <mergeCell ref="BX65:CG66"/>
    <mergeCell ref="BX67:CG68"/>
    <mergeCell ref="BX69:CG70"/>
    <mergeCell ref="BX71:CG72"/>
    <mergeCell ref="B78:G79"/>
    <mergeCell ref="AR78:AW79"/>
    <mergeCell ref="H78:L79"/>
    <mergeCell ref="M78:O79"/>
    <mergeCell ref="BC78:BE79"/>
    <mergeCell ref="P78:Q79"/>
    <mergeCell ref="R78:S79"/>
    <mergeCell ref="BF78:BG79"/>
    <mergeCell ref="BH78:BI79"/>
    <mergeCell ref="T78:AG79"/>
    <mergeCell ref="AH78:AQ79"/>
    <mergeCell ref="AX78:BB79"/>
    <mergeCell ref="BJ78:BL79"/>
    <mergeCell ref="BM78:BW79"/>
    <mergeCell ref="BX78:CG79"/>
    <mergeCell ref="B80:G81"/>
    <mergeCell ref="AR80:AW81"/>
    <mergeCell ref="H80:L81"/>
    <mergeCell ref="M80:O81"/>
    <mergeCell ref="BC80:BE81"/>
    <mergeCell ref="P80:Q81"/>
    <mergeCell ref="R80:S81"/>
    <mergeCell ref="BF80:BG81"/>
    <mergeCell ref="BH80:BI81"/>
    <mergeCell ref="T80:AG81"/>
    <mergeCell ref="AH80:AQ81"/>
    <mergeCell ref="AX80:BB81"/>
    <mergeCell ref="BJ80:BL81"/>
    <mergeCell ref="BM80:BW81"/>
    <mergeCell ref="BX80:CG81"/>
    <mergeCell ref="B82:G83"/>
    <mergeCell ref="AR82:AW83"/>
    <mergeCell ref="H82:L83"/>
    <mergeCell ref="M82:O83"/>
    <mergeCell ref="BC82:BE83"/>
    <mergeCell ref="P82:Q83"/>
    <mergeCell ref="R82:S83"/>
    <mergeCell ref="BF82:BG83"/>
    <mergeCell ref="BH82:BI83"/>
    <mergeCell ref="T82:AG83"/>
    <mergeCell ref="AH82:AQ83"/>
    <mergeCell ref="AX82:BB83"/>
    <mergeCell ref="BJ82:BL83"/>
    <mergeCell ref="BM82:BW83"/>
    <mergeCell ref="BX82:CG83"/>
    <mergeCell ref="T21:U22"/>
    <mergeCell ref="V21:W22"/>
    <mergeCell ref="B4:O14"/>
    <mergeCell ref="Q5:U6"/>
    <mergeCell ref="V5:AD6"/>
    <mergeCell ref="AE5:AI6"/>
    <mergeCell ref="Q21:S22"/>
    <mergeCell ref="X21:AB22"/>
    <mergeCell ref="AC21:AF22"/>
    <mergeCell ref="BC16:BF17"/>
    <mergeCell ref="AY8:BB17"/>
    <mergeCell ref="BG16:CG17"/>
    <mergeCell ref="Q26:S27"/>
    <mergeCell ref="T26:U27"/>
    <mergeCell ref="AJ26:AK27"/>
    <mergeCell ref="AV26:AW27"/>
    <mergeCell ref="V26:X27"/>
    <mergeCell ref="Y26:AA27"/>
    <mergeCell ref="AB26:AD27"/>
    <mergeCell ref="AE26:AF27"/>
    <mergeCell ref="AG26:AI27"/>
    <mergeCell ref="AS26:AU27"/>
    <mergeCell ref="B20:O23"/>
    <mergeCell ref="B35:D36"/>
    <mergeCell ref="AR35:AT36"/>
    <mergeCell ref="J35:L36"/>
    <mergeCell ref="AZ35:BB36"/>
    <mergeCell ref="M35:AQ36"/>
    <mergeCell ref="AU35:AY36"/>
    <mergeCell ref="BC35:CG36"/>
    <mergeCell ref="AK5:AP6"/>
    <mergeCell ref="AR5:AW6"/>
    <mergeCell ref="Q8:AW13"/>
    <mergeCell ref="E35:I36"/>
    <mergeCell ref="AY20:BB21"/>
    <mergeCell ref="AY26:BB32"/>
    <mergeCell ref="BC20:BI21"/>
    <mergeCell ref="BC26:BI32"/>
    <mergeCell ref="BJ30:BM32"/>
    <mergeCell ref="BV30:BY32"/>
    <mergeCell ref="BJ26:BM29"/>
    <mergeCell ref="BV26:BY29"/>
    <mergeCell ref="BZ30:CG32"/>
    <mergeCell ref="BZ26:CG29"/>
    <mergeCell ref="BN26:BU29"/>
    <mergeCell ref="BJ24:BM25"/>
    <mergeCell ref="BV24:BY25"/>
    <mergeCell ref="BN24:BU25"/>
    <mergeCell ref="BZ24:CG25"/>
    <mergeCell ref="BN30:BU32"/>
    <mergeCell ref="AH30:AW32"/>
    <mergeCell ref="P73:Q74"/>
    <mergeCell ref="R73:S74"/>
    <mergeCell ref="BF73:BG74"/>
    <mergeCell ref="BH73:BI74"/>
    <mergeCell ref="B73:G74"/>
    <mergeCell ref="AR73:AW74"/>
    <mergeCell ref="H73:L74"/>
    <mergeCell ref="M73:O74"/>
    <mergeCell ref="BC73:BE74"/>
    <mergeCell ref="T73:AG74"/>
    <mergeCell ref="AH73:AQ74"/>
    <mergeCell ref="AX73:BB74"/>
    <mergeCell ref="BJ73:BL74"/>
    <mergeCell ref="BM73:BW74"/>
    <mergeCell ref="BX73:CG74"/>
    <mergeCell ref="B84:G85"/>
    <mergeCell ref="AR84:AW85"/>
    <mergeCell ref="H84:L85"/>
    <mergeCell ref="M84:O85"/>
    <mergeCell ref="BC84:BE85"/>
    <mergeCell ref="P84:Q85"/>
    <mergeCell ref="R84:S85"/>
    <mergeCell ref="BF84:BG85"/>
    <mergeCell ref="BH84:BI85"/>
    <mergeCell ref="T84:AG85"/>
    <mergeCell ref="AH84:AQ85"/>
    <mergeCell ref="AX84:BB85"/>
    <mergeCell ref="BJ84:BL85"/>
    <mergeCell ref="BM84:BW85"/>
    <mergeCell ref="BX84:CG85"/>
    <mergeCell ref="B90:J100"/>
    <mergeCell ref="K90:S100"/>
    <mergeCell ref="B87:S89"/>
    <mergeCell ref="AY22:BB25"/>
    <mergeCell ref="AL26:AR27"/>
    <mergeCell ref="B26:O32"/>
  </mergeCells>
  <dataValidations count="60">
    <dataValidation allowBlank="1" showInputMessage="1" showErrorMessage="1" sqref="AY19"/>
    <dataValidation type="list" showInputMessage="1" showErrorMessage="1" sqref="BG22 BG24 P78:S85 BH78:BI85">
      <formula1>勾选</formula1>
    </dataValidation>
    <dataValidation type="list" showInputMessage="1" showErrorMessage="1" sqref="B51:G51 B53:G53 B55:G55 B57:G57 B71:G71 B73:G73 B39:G49 B59:G69">
      <formula1>武技</formula1>
    </dataValidation>
    <dataValidation type="list" showInputMessage="1" showErrorMessage="1" sqref="M35:AQ36">
      <formula1>_专长描述1</formula1>
    </dataValidation>
    <dataValidation type="list" showInputMessage="1" showErrorMessage="1" sqref="BN22:BU23">
      <formula1>绝技!$B$4:$B$11</formula1>
    </dataValidation>
    <dataValidation type="list" allowBlank="1" showInputMessage="1" showErrorMessage="1" sqref="BZ26:CG29">
      <formula1>二挡绝技效果</formula1>
    </dataValidation>
    <dataValidation type="list" showInputMessage="1" showErrorMessage="1" sqref="AR39:AW73">
      <formula1>术法</formula1>
    </dataValidation>
    <dataValidation type="list" showInputMessage="1" showErrorMessage="1" sqref="BC35:CG36">
      <formula1>_专长描述2</formula1>
    </dataValidation>
    <dataValidation type="list" allowBlank="1" showInputMessage="1" showErrorMessage="1" sqref="BD22:BE23">
      <formula1>_灵能印记1</formula1>
    </dataValidation>
    <dataValidation type="list" allowBlank="1" showInputMessage="1" showErrorMessage="1" sqref="BH22:BI23">
      <formula1>_灵能印记3</formula1>
    </dataValidation>
    <dataValidation type="list" allowBlank="1" showInputMessage="1" showErrorMessage="1" sqref="BD24:BE25">
      <formula1>_灵能印记2</formula1>
    </dataValidation>
    <dataValidation type="list" allowBlank="1" showInputMessage="1" showErrorMessage="1" sqref="BH24:BI25">
      <formula1>_灵能印记4</formula1>
    </dataValidation>
    <dataValidation type="list" showInputMessage="1" showErrorMessage="1" sqref="BG8:CG9">
      <formula1>IF($AY$8=""," ",INDIRECT($AY$8&amp;"_5消耗"))</formula1>
    </dataValidation>
    <dataValidation type="list" showInputMessage="1" showErrorMessage="1" sqref="BG10:CG11">
      <formula1>INDIRECT($AY$8&amp;"_10消耗")</formula1>
    </dataValidation>
    <dataValidation type="list" showInputMessage="1" showErrorMessage="1" sqref="BG12:CG13">
      <formula1>INDIRECT($AY$8&amp;"_15消耗")</formula1>
    </dataValidation>
    <dataValidation type="list" showInputMessage="1" showErrorMessage="1" sqref="BG14:CG15">
      <formula1>INDIRECT($AY$8&amp;"_20消耗")</formula1>
    </dataValidation>
    <dataValidation type="list" showInputMessage="1" showErrorMessage="1" sqref="BG16:CG17">
      <formula1>INDIRECT($AY$8&amp;"_25消耗")</formula1>
    </dataValidation>
    <dataValidation type="list" showInputMessage="1" showErrorMessage="1" sqref="BZ22:CG23">
      <formula1>绝技!$B$12:$B$15</formula1>
    </dataValidation>
    <dataValidation type="list" showInputMessage="1" showErrorMessage="1" sqref="AU35:AY36">
      <formula1>_专长名称2</formula1>
    </dataValidation>
    <dataValidation type="list" showInputMessage="1" showErrorMessage="1" sqref="AK5:AP6">
      <formula1>_专精名称1</formula1>
    </dataValidation>
    <dataValidation type="list" showInputMessage="1" showErrorMessage="1" sqref="AY8:BB17">
      <formula1>时髦风格</formula1>
    </dataValidation>
    <dataValidation type="list" showInputMessage="1" showErrorMessage="1" sqref="T39:AG40">
      <formula1>武技_效果1</formula1>
    </dataValidation>
    <dataValidation type="list" showInputMessage="1" showErrorMessage="1" sqref="T41:AG42">
      <formula1>武技_效果2</formula1>
    </dataValidation>
    <dataValidation type="list" showInputMessage="1" showErrorMessage="1" sqref="T43:AG44">
      <formula1>武技_效果3</formula1>
    </dataValidation>
    <dataValidation type="list" showInputMessage="1" showErrorMessage="1" sqref="T45:AG46">
      <formula1>武技_效果4</formula1>
    </dataValidation>
    <dataValidation type="list" showInputMessage="1" showErrorMessage="1" sqref="T47:AG48">
      <formula1>武技_效果5</formula1>
    </dataValidation>
    <dataValidation type="list" showInputMessage="1" showErrorMessage="1" sqref="T49:AG50">
      <formula1>武技_效果6</formula1>
    </dataValidation>
    <dataValidation type="list" showInputMessage="1" showErrorMessage="1" sqref="T51:AG52">
      <formula1>武技_效果7</formula1>
    </dataValidation>
    <dataValidation type="list" showInputMessage="1" showErrorMessage="1" sqref="T53:AG54">
      <formula1>武技_效果8</formula1>
    </dataValidation>
    <dataValidation type="list" showInputMessage="1" showErrorMessage="1" sqref="T55:AG56">
      <formula1>武技_效果9</formula1>
    </dataValidation>
    <dataValidation type="list" showInputMessage="1" showErrorMessage="1" sqref="T57:AG58">
      <formula1>武技_效果10</formula1>
    </dataValidation>
    <dataValidation type="list" showInputMessage="1" showErrorMessage="1" sqref="T59:AG60">
      <formula1>武技_效果11</formula1>
    </dataValidation>
    <dataValidation type="list" showInputMessage="1" showErrorMessage="1" sqref="T61:AG62">
      <formula1>武技_效果12</formula1>
    </dataValidation>
    <dataValidation type="list" showInputMessage="1" showErrorMessage="1" sqref="T63:AG64">
      <formula1>武技_效果13</formula1>
    </dataValidation>
    <dataValidation type="list" showInputMessage="1" showErrorMessage="1" sqref="T65:AG66">
      <formula1>武技_效果14</formula1>
    </dataValidation>
    <dataValidation type="list" showInputMessage="1" showErrorMessage="1" sqref="T67:AG68">
      <formula1>武技_效果15</formula1>
    </dataValidation>
    <dataValidation type="list" showInputMessage="1" showErrorMessage="1" sqref="T69:AG70">
      <formula1>武技_效果16</formula1>
    </dataValidation>
    <dataValidation type="list" showInputMessage="1" showErrorMessage="1" sqref="T71:AG72">
      <formula1>武技_效果17</formula1>
    </dataValidation>
    <dataValidation type="list" showInputMessage="1" showErrorMessage="1" sqref="T73:AG74">
      <formula1>武技_效果18</formula1>
    </dataValidation>
    <dataValidation type="list" showInputMessage="1" showErrorMessage="1" sqref="E35:I36">
      <formula1>_专长名称1</formula1>
    </dataValidation>
    <dataValidation type="list" showInputMessage="1" showErrorMessage="1" sqref="AR5:AW6">
      <formula1>_专精名称2</formula1>
    </dataValidation>
    <dataValidation type="list" showInputMessage="1" showErrorMessage="1" sqref="BM39:BW40">
      <formula1>术法_效果1</formula1>
    </dataValidation>
    <dataValidation type="list" showInputMessage="1" showErrorMessage="1" sqref="BM41:BW42">
      <formula1>术法_效果2</formula1>
    </dataValidation>
    <dataValidation type="list" showInputMessage="1" showErrorMessage="1" sqref="BM43:BW44">
      <formula1>术法_效果3</formula1>
    </dataValidation>
    <dataValidation type="list" showInputMessage="1" showErrorMessage="1" sqref="BM45:BW46">
      <formula1>术法_效果4</formula1>
    </dataValidation>
    <dataValidation type="list" showInputMessage="1" showErrorMessage="1" sqref="BM47:BW48">
      <formula1>术法_效果5</formula1>
    </dataValidation>
    <dataValidation type="list" showInputMessage="1" showErrorMessage="1" sqref="BM49:BW50">
      <formula1>术法_效果6</formula1>
    </dataValidation>
    <dataValidation type="list" showInputMessage="1" showErrorMessage="1" sqref="BM51:BW52">
      <formula1>术法_效果7</formula1>
    </dataValidation>
    <dataValidation type="list" showInputMessage="1" showErrorMessage="1" sqref="BM53:BW54">
      <formula1>术法_效果8</formula1>
    </dataValidation>
    <dataValidation type="list" showInputMessage="1" showErrorMessage="1" sqref="BM55:BW56">
      <formula1>术法_效果9</formula1>
    </dataValidation>
    <dataValidation type="list" showInputMessage="1" showErrorMessage="1" sqref="BM57:BW58">
      <formula1>术法_效果10</formula1>
    </dataValidation>
    <dataValidation type="list" showInputMessage="1" showErrorMessage="1" sqref="BM59:BW60">
      <formula1>术法_效果11</formula1>
    </dataValidation>
    <dataValidation type="list" showInputMessage="1" showErrorMessage="1" sqref="BM61:BW62">
      <formula1>术法_效果12</formula1>
    </dataValidation>
    <dataValidation type="list" showInputMessage="1" showErrorMessage="1" sqref="BM63:BW64">
      <formula1>术法_效果13</formula1>
    </dataValidation>
    <dataValidation type="list" showInputMessage="1" showErrorMessage="1" sqref="BM65:BW66">
      <formula1>术法_效果14</formula1>
    </dataValidation>
    <dataValidation type="list" showInputMessage="1" showErrorMessage="1" sqref="BM67:BW68">
      <formula1>术法_效果15</formula1>
    </dataValidation>
    <dataValidation type="list" showInputMessage="1" showErrorMessage="1" sqref="BM69:BW70">
      <formula1>术法_效果16</formula1>
    </dataValidation>
    <dataValidation type="list" showInputMessage="1" showErrorMessage="1" sqref="BM71:BW72">
      <formula1>术法_效果17</formula1>
    </dataValidation>
    <dataValidation type="list" showInputMessage="1" showErrorMessage="1" sqref="BM73:BW74">
      <formula1>术法_效果18</formula1>
    </dataValidation>
    <dataValidation type="list" allowBlank="1" showInputMessage="1" showErrorMessage="1" sqref="BN26:BU29">
      <formula1>一挡绝技效果</formula1>
    </dataValidation>
  </dataValidation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C41"/>
  <sheetViews>
    <sheetView workbookViewId="0">
      <selection activeCell="B2" sqref="B2:Z3"/>
    </sheetView>
  </sheetViews>
  <sheetFormatPr defaultColWidth="3.625" defaultRowHeight="18" customHeight="1"/>
  <cols>
    <col min="1" max="16384" width="3.625" customWidth="1"/>
  </cols>
  <sheetData>
    <row r="1" customHeight="1" spans="1:55">
      <c r="A1" s="166"/>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c r="AB1" s="166"/>
      <c r="AC1" s="166"/>
      <c r="AD1" s="166"/>
      <c r="AE1" s="166"/>
      <c r="AF1" s="166"/>
      <c r="AG1" s="166"/>
      <c r="AH1" s="166"/>
      <c r="AI1" s="166"/>
      <c r="AJ1" s="166"/>
      <c r="AK1" s="166"/>
      <c r="AL1" s="166"/>
      <c r="AM1" s="166"/>
      <c r="AN1" s="166"/>
      <c r="AO1" s="166"/>
      <c r="AP1" s="166"/>
      <c r="AQ1" s="166"/>
      <c r="AR1" s="166"/>
      <c r="AS1" s="166"/>
      <c r="AT1" s="166"/>
      <c r="AU1" s="166"/>
      <c r="AV1" s="166"/>
      <c r="AW1" s="166"/>
      <c r="AX1" s="166"/>
      <c r="AY1" s="166"/>
      <c r="AZ1" s="166"/>
      <c r="BA1" s="166"/>
      <c r="BB1" s="166"/>
      <c r="BC1" s="166"/>
    </row>
    <row r="2" customHeight="1" spans="1:55">
      <c r="A2" s="166"/>
      <c r="B2" s="34" t="s">
        <v>88</v>
      </c>
      <c r="C2" s="67"/>
      <c r="D2" s="67"/>
      <c r="E2" s="67"/>
      <c r="F2" s="67"/>
      <c r="G2" s="67"/>
      <c r="H2" s="67"/>
      <c r="I2" s="67"/>
      <c r="J2" s="67"/>
      <c r="K2" s="67"/>
      <c r="L2" s="67"/>
      <c r="M2" s="67"/>
      <c r="N2" s="67"/>
      <c r="O2" s="67"/>
      <c r="P2" s="67"/>
      <c r="Q2" s="67"/>
      <c r="R2" s="67"/>
      <c r="S2" s="67"/>
      <c r="T2" s="67"/>
      <c r="U2" s="67"/>
      <c r="V2" s="67"/>
      <c r="W2" s="67"/>
      <c r="X2" s="67"/>
      <c r="Y2" s="67"/>
      <c r="Z2" s="35"/>
      <c r="AA2" s="166"/>
      <c r="AB2" s="34" t="s">
        <v>89</v>
      </c>
      <c r="AC2" s="67"/>
      <c r="AD2" s="67"/>
      <c r="AE2" s="67"/>
      <c r="AF2" s="67"/>
      <c r="AG2" s="67"/>
      <c r="AH2" s="67"/>
      <c r="AI2" s="67"/>
      <c r="AJ2" s="35"/>
      <c r="AK2" s="166"/>
      <c r="AL2" s="166"/>
      <c r="AM2" s="166"/>
      <c r="AN2" s="166"/>
      <c r="AO2" s="166"/>
      <c r="AP2" s="166"/>
      <c r="AQ2" s="166"/>
      <c r="AR2" s="166"/>
      <c r="AS2" s="166"/>
      <c r="AT2" s="166"/>
      <c r="AU2" s="166"/>
      <c r="AV2" s="166"/>
      <c r="AW2" s="166"/>
      <c r="AX2" s="166"/>
      <c r="AY2" s="166"/>
      <c r="AZ2" s="166"/>
      <c r="BA2" s="166"/>
      <c r="BB2" s="166"/>
      <c r="BC2" s="166"/>
    </row>
    <row r="3" customHeight="1" spans="1:55">
      <c r="A3" s="166"/>
      <c r="B3" s="167"/>
      <c r="C3" s="168"/>
      <c r="D3" s="168"/>
      <c r="E3" s="168"/>
      <c r="F3" s="168"/>
      <c r="G3" s="168"/>
      <c r="H3" s="168"/>
      <c r="I3" s="168"/>
      <c r="J3" s="168"/>
      <c r="K3" s="168"/>
      <c r="L3" s="168"/>
      <c r="M3" s="168"/>
      <c r="N3" s="168"/>
      <c r="O3" s="168"/>
      <c r="P3" s="168"/>
      <c r="Q3" s="168"/>
      <c r="R3" s="168"/>
      <c r="S3" s="168"/>
      <c r="T3" s="168"/>
      <c r="U3" s="168"/>
      <c r="V3" s="168"/>
      <c r="W3" s="168"/>
      <c r="X3" s="168"/>
      <c r="Y3" s="168"/>
      <c r="Z3" s="169"/>
      <c r="AA3" s="166"/>
      <c r="AB3" s="167"/>
      <c r="AC3" s="168"/>
      <c r="AD3" s="168"/>
      <c r="AE3" s="168"/>
      <c r="AF3" s="168"/>
      <c r="AG3" s="168"/>
      <c r="AH3" s="168"/>
      <c r="AI3" s="168"/>
      <c r="AJ3" s="169"/>
      <c r="AK3" s="166"/>
      <c r="AL3" s="166"/>
      <c r="AM3" s="166"/>
      <c r="AN3" s="166"/>
      <c r="AO3" s="166"/>
      <c r="AP3" s="166"/>
      <c r="AQ3" s="166"/>
      <c r="AR3" s="166"/>
      <c r="AS3" s="166"/>
      <c r="AT3" s="166"/>
      <c r="AU3" s="166"/>
      <c r="AV3" s="166"/>
      <c r="AW3" s="166"/>
      <c r="AX3" s="166"/>
      <c r="AY3" s="166"/>
      <c r="AZ3" s="166"/>
      <c r="BA3" s="166"/>
      <c r="BB3" s="166"/>
      <c r="BC3" s="166"/>
    </row>
    <row r="4" customHeight="1" spans="1:55">
      <c r="A4" s="166"/>
      <c r="B4" s="39" t="s">
        <v>90</v>
      </c>
      <c r="C4" s="68"/>
      <c r="D4" s="68" t="s">
        <v>91</v>
      </c>
      <c r="E4" s="68"/>
      <c r="F4" s="68" t="s">
        <v>92</v>
      </c>
      <c r="G4" s="68"/>
      <c r="H4" s="68"/>
      <c r="I4" s="68" t="s">
        <v>28</v>
      </c>
      <c r="J4" s="68"/>
      <c r="K4" s="68"/>
      <c r="L4" s="68"/>
      <c r="M4" s="68"/>
      <c r="N4" s="68"/>
      <c r="O4" s="170" t="s">
        <v>38</v>
      </c>
      <c r="P4" s="170"/>
      <c r="Q4" s="170"/>
      <c r="R4" s="170"/>
      <c r="S4" s="170"/>
      <c r="T4" s="170"/>
      <c r="U4" s="68" t="s">
        <v>46</v>
      </c>
      <c r="V4" s="68"/>
      <c r="W4" s="68"/>
      <c r="X4" s="68"/>
      <c r="Y4" s="68"/>
      <c r="Z4" s="101"/>
      <c r="AA4" s="171"/>
      <c r="AB4" s="172" t="s">
        <v>63</v>
      </c>
      <c r="AC4" s="170"/>
      <c r="AD4" s="170" t="s">
        <v>93</v>
      </c>
      <c r="AE4" s="170"/>
      <c r="AF4" s="170"/>
      <c r="AG4" s="170"/>
      <c r="AH4" s="170"/>
      <c r="AI4" s="170"/>
      <c r="AJ4" s="173"/>
      <c r="AK4" s="166"/>
      <c r="AL4" s="166"/>
      <c r="AM4" s="166"/>
      <c r="AN4" s="166"/>
      <c r="AO4" s="166"/>
      <c r="AP4" s="166"/>
      <c r="AQ4" s="166"/>
      <c r="AR4" s="166"/>
      <c r="AS4" s="166"/>
      <c r="AT4" s="166"/>
      <c r="AU4" s="166"/>
      <c r="AV4" s="166"/>
      <c r="AW4" s="166"/>
      <c r="AX4" s="166"/>
      <c r="AY4" s="166"/>
      <c r="AZ4" s="166"/>
      <c r="BA4" s="166"/>
      <c r="BB4" s="166"/>
      <c r="BC4" s="166"/>
    </row>
    <row r="5" customHeight="1" spans="1:55">
      <c r="A5" s="166"/>
      <c r="B5" s="39"/>
      <c r="C5" s="68"/>
      <c r="D5" s="68"/>
      <c r="E5" s="68"/>
      <c r="F5" s="68"/>
      <c r="G5" s="68"/>
      <c r="H5" s="68"/>
      <c r="I5" s="68"/>
      <c r="J5" s="68"/>
      <c r="K5" s="68"/>
      <c r="L5" s="68"/>
      <c r="M5" s="68"/>
      <c r="N5" s="68"/>
      <c r="O5" s="170"/>
      <c r="P5" s="170"/>
      <c r="Q5" s="170"/>
      <c r="R5" s="170"/>
      <c r="S5" s="170"/>
      <c r="T5" s="170"/>
      <c r="U5" s="68"/>
      <c r="V5" s="68"/>
      <c r="W5" s="68"/>
      <c r="X5" s="68"/>
      <c r="Y5" s="68"/>
      <c r="Z5" s="101"/>
      <c r="AA5" s="171"/>
      <c r="AB5" s="172"/>
      <c r="AC5" s="170"/>
      <c r="AD5" s="170"/>
      <c r="AE5" s="170"/>
      <c r="AF5" s="170"/>
      <c r="AG5" s="170"/>
      <c r="AH5" s="170"/>
      <c r="AI5" s="170"/>
      <c r="AJ5" s="173"/>
      <c r="AK5" s="166"/>
      <c r="AL5" s="166"/>
      <c r="AM5" s="166"/>
      <c r="AN5" s="166"/>
      <c r="AO5" s="166"/>
      <c r="AP5" s="166"/>
      <c r="AQ5" s="166"/>
      <c r="AR5" s="166"/>
      <c r="AS5" s="166"/>
      <c r="AT5" s="166"/>
      <c r="AU5" s="166"/>
      <c r="AV5" s="166"/>
      <c r="AW5" s="166"/>
      <c r="AX5" s="166"/>
      <c r="AY5" s="166"/>
      <c r="AZ5" s="166"/>
      <c r="BA5" s="166"/>
      <c r="BB5" s="166"/>
      <c r="BC5" s="166"/>
    </row>
    <row r="6" customHeight="1" spans="1:55">
      <c r="A6" s="166"/>
      <c r="B6" s="45" t="s">
        <v>94</v>
      </c>
      <c r="C6" s="71"/>
      <c r="D6" s="71">
        <v>1</v>
      </c>
      <c r="E6" s="71"/>
      <c r="F6" s="71">
        <v>0</v>
      </c>
      <c r="G6" s="71"/>
      <c r="H6" s="71"/>
      <c r="I6" s="15" t="s">
        <v>95</v>
      </c>
      <c r="J6" s="15"/>
      <c r="K6" s="15"/>
      <c r="L6" s="15"/>
      <c r="M6" s="15"/>
      <c r="N6" s="15"/>
      <c r="O6" s="15"/>
      <c r="P6" s="15"/>
      <c r="Q6" s="15"/>
      <c r="R6" s="15"/>
      <c r="S6" s="15"/>
      <c r="T6" s="15"/>
      <c r="U6" s="15"/>
      <c r="V6" s="15"/>
      <c r="W6" s="15"/>
      <c r="X6" s="15"/>
      <c r="Y6" s="15"/>
      <c r="Z6" s="174"/>
      <c r="AA6" s="171"/>
      <c r="AB6" s="63">
        <v>10</v>
      </c>
      <c r="AC6" s="81"/>
      <c r="AD6" s="81" t="s">
        <v>96</v>
      </c>
      <c r="AE6" s="81"/>
      <c r="AF6" s="81"/>
      <c r="AG6" s="81"/>
      <c r="AH6" s="81"/>
      <c r="AI6" s="81"/>
      <c r="AJ6" s="175"/>
      <c r="AK6" s="166"/>
      <c r="AL6" s="166"/>
      <c r="AM6" s="166"/>
      <c r="AN6" s="166"/>
      <c r="AO6" s="166"/>
      <c r="AP6" s="166"/>
      <c r="AQ6" s="166"/>
      <c r="AR6" s="166"/>
      <c r="AS6" s="166"/>
      <c r="AT6" s="166"/>
      <c r="AU6" s="166"/>
      <c r="AV6" s="166"/>
      <c r="AW6" s="166"/>
      <c r="AX6" s="166"/>
      <c r="AY6" s="166"/>
      <c r="AZ6" s="166"/>
      <c r="BA6" s="166"/>
      <c r="BB6" s="166"/>
      <c r="BC6" s="166"/>
    </row>
    <row r="7" customHeight="1" spans="1:55">
      <c r="A7" s="166"/>
      <c r="B7" s="45"/>
      <c r="C7" s="71"/>
      <c r="D7" s="71"/>
      <c r="E7" s="71"/>
      <c r="F7" s="71"/>
      <c r="G7" s="71"/>
      <c r="H7" s="71"/>
      <c r="I7" s="15"/>
      <c r="J7" s="15"/>
      <c r="K7" s="15"/>
      <c r="L7" s="15"/>
      <c r="M7" s="15"/>
      <c r="N7" s="15"/>
      <c r="O7" s="15"/>
      <c r="P7" s="15"/>
      <c r="Q7" s="15"/>
      <c r="R7" s="15"/>
      <c r="S7" s="15"/>
      <c r="T7" s="15"/>
      <c r="U7" s="15"/>
      <c r="V7" s="15"/>
      <c r="W7" s="15"/>
      <c r="X7" s="15"/>
      <c r="Y7" s="15"/>
      <c r="Z7" s="174"/>
      <c r="AA7" s="38"/>
      <c r="AB7" s="86">
        <v>12</v>
      </c>
      <c r="AC7" s="87"/>
      <c r="AD7" s="87" t="s">
        <v>97</v>
      </c>
      <c r="AE7" s="87"/>
      <c r="AF7" s="87"/>
      <c r="AG7" s="87"/>
      <c r="AH7" s="87"/>
      <c r="AI7" s="87"/>
      <c r="AJ7" s="176"/>
      <c r="AK7" s="166"/>
      <c r="AL7" s="166"/>
      <c r="AM7" s="166"/>
      <c r="AN7" s="166"/>
      <c r="AO7" s="166"/>
      <c r="AP7" s="166"/>
      <c r="AQ7" s="166"/>
      <c r="AR7" s="166"/>
      <c r="AS7" s="166"/>
      <c r="AT7" s="166"/>
      <c r="AU7" s="166"/>
      <c r="AV7" s="166"/>
      <c r="AW7" s="166"/>
      <c r="AX7" s="166"/>
      <c r="AY7" s="166"/>
      <c r="AZ7" s="166"/>
      <c r="BA7" s="166"/>
      <c r="BB7" s="166"/>
      <c r="BC7" s="166"/>
    </row>
    <row r="8" customHeight="1" spans="1:55">
      <c r="A8" s="166"/>
      <c r="B8" s="51" t="s">
        <v>98</v>
      </c>
      <c r="C8" s="73"/>
      <c r="D8" s="73">
        <v>2</v>
      </c>
      <c r="E8" s="73"/>
      <c r="F8" s="23">
        <v>1</v>
      </c>
      <c r="G8" s="23"/>
      <c r="H8" s="23"/>
      <c r="I8" s="177" t="s">
        <v>99</v>
      </c>
      <c r="J8" s="23"/>
      <c r="K8" s="23"/>
      <c r="L8" s="23"/>
      <c r="M8" s="23"/>
      <c r="N8" s="23"/>
      <c r="O8" s="177" t="s">
        <v>100</v>
      </c>
      <c r="P8" s="23"/>
      <c r="Q8" s="23"/>
      <c r="R8" s="23"/>
      <c r="S8" s="23"/>
      <c r="T8" s="23"/>
      <c r="U8" s="23" t="s">
        <v>101</v>
      </c>
      <c r="V8" s="23"/>
      <c r="W8" s="23"/>
      <c r="X8" s="23"/>
      <c r="Y8" s="23"/>
      <c r="Z8" s="178"/>
      <c r="AA8" s="166"/>
      <c r="AB8" s="63">
        <v>14</v>
      </c>
      <c r="AC8" s="81"/>
      <c r="AD8" s="81" t="s">
        <v>102</v>
      </c>
      <c r="AE8" s="81"/>
      <c r="AF8" s="81"/>
      <c r="AG8" s="81"/>
      <c r="AH8" s="81"/>
      <c r="AI8" s="81"/>
      <c r="AJ8" s="175"/>
      <c r="AK8" s="166"/>
      <c r="AL8" s="166"/>
      <c r="AM8" s="166"/>
      <c r="AN8" s="166"/>
      <c r="AO8" s="166"/>
      <c r="AP8" s="166"/>
      <c r="AQ8" s="166"/>
      <c r="AR8" s="166"/>
      <c r="AS8" s="166"/>
      <c r="AT8" s="166"/>
      <c r="AU8" s="166"/>
      <c r="AV8" s="166"/>
      <c r="AW8" s="166"/>
      <c r="AX8" s="166"/>
      <c r="AY8" s="166"/>
      <c r="AZ8" s="166"/>
      <c r="BA8" s="166"/>
      <c r="BB8" s="166"/>
      <c r="BC8" s="166"/>
    </row>
    <row r="9" customHeight="1" spans="1:55">
      <c r="A9" s="166"/>
      <c r="B9" s="51"/>
      <c r="C9" s="73"/>
      <c r="D9" s="73"/>
      <c r="E9" s="73"/>
      <c r="F9" s="23"/>
      <c r="G9" s="23"/>
      <c r="H9" s="23"/>
      <c r="I9" s="23"/>
      <c r="J9" s="23"/>
      <c r="K9" s="23"/>
      <c r="L9" s="23"/>
      <c r="M9" s="23"/>
      <c r="N9" s="23"/>
      <c r="O9" s="23"/>
      <c r="P9" s="23"/>
      <c r="Q9" s="23"/>
      <c r="R9" s="23"/>
      <c r="S9" s="23"/>
      <c r="T9" s="23"/>
      <c r="U9" s="23"/>
      <c r="V9" s="23"/>
      <c r="W9" s="23"/>
      <c r="X9" s="23"/>
      <c r="Y9" s="23"/>
      <c r="Z9" s="178"/>
      <c r="AA9" s="166"/>
      <c r="AB9" s="86">
        <v>16</v>
      </c>
      <c r="AC9" s="87"/>
      <c r="AD9" s="87" t="s">
        <v>103</v>
      </c>
      <c r="AE9" s="87"/>
      <c r="AF9" s="87"/>
      <c r="AG9" s="87"/>
      <c r="AH9" s="87"/>
      <c r="AI9" s="87"/>
      <c r="AJ9" s="176"/>
      <c r="AK9" s="166"/>
      <c r="AL9" s="166"/>
      <c r="AM9" s="166"/>
      <c r="AN9" s="166"/>
      <c r="AO9" s="166"/>
      <c r="AP9" s="166"/>
      <c r="AQ9" s="166"/>
      <c r="AR9" s="166"/>
      <c r="AS9" s="166"/>
      <c r="AT9" s="166"/>
      <c r="AU9" s="166"/>
      <c r="AV9" s="166"/>
      <c r="AW9" s="166"/>
      <c r="AX9" s="166"/>
      <c r="AY9" s="166"/>
      <c r="AZ9" s="166"/>
      <c r="BA9" s="166"/>
      <c r="BB9" s="166"/>
      <c r="BC9" s="166"/>
    </row>
    <row r="10" customHeight="1" spans="1:55">
      <c r="A10" s="166"/>
      <c r="B10" s="51"/>
      <c r="C10" s="73"/>
      <c r="D10" s="73"/>
      <c r="E10" s="73"/>
      <c r="F10" s="23"/>
      <c r="G10" s="23"/>
      <c r="H10" s="23"/>
      <c r="I10" s="23"/>
      <c r="J10" s="23"/>
      <c r="K10" s="23"/>
      <c r="L10" s="23"/>
      <c r="M10" s="23"/>
      <c r="N10" s="23"/>
      <c r="O10" s="23"/>
      <c r="P10" s="23"/>
      <c r="Q10" s="23"/>
      <c r="R10" s="23"/>
      <c r="S10" s="23"/>
      <c r="T10" s="23"/>
      <c r="U10" s="23"/>
      <c r="V10" s="23"/>
      <c r="W10" s="23"/>
      <c r="X10" s="23"/>
      <c r="Y10" s="23"/>
      <c r="Z10" s="178"/>
      <c r="AA10" s="166"/>
      <c r="AB10" s="92">
        <v>18</v>
      </c>
      <c r="AC10" s="93"/>
      <c r="AD10" s="93" t="s">
        <v>104</v>
      </c>
      <c r="AE10" s="93"/>
      <c r="AF10" s="93"/>
      <c r="AG10" s="93"/>
      <c r="AH10" s="93"/>
      <c r="AI10" s="93"/>
      <c r="AJ10" s="179"/>
      <c r="AK10" s="166"/>
      <c r="AL10" s="166"/>
      <c r="AM10" s="166"/>
      <c r="AN10" s="166"/>
      <c r="AO10" s="166"/>
      <c r="AP10" s="166"/>
      <c r="AQ10" s="166"/>
      <c r="AR10" s="166"/>
      <c r="AS10" s="166"/>
      <c r="AT10" s="166"/>
      <c r="AU10" s="166"/>
      <c r="AV10" s="166"/>
      <c r="AW10" s="166"/>
      <c r="AX10" s="166"/>
      <c r="AY10" s="166"/>
      <c r="AZ10" s="166"/>
      <c r="BA10" s="166"/>
      <c r="BB10" s="166"/>
      <c r="BC10" s="166"/>
    </row>
    <row r="11" customHeight="1" spans="1:55">
      <c r="A11" s="166"/>
      <c r="B11" s="45" t="s">
        <v>105</v>
      </c>
      <c r="C11" s="71"/>
      <c r="D11" s="71">
        <v>3</v>
      </c>
      <c r="E11" s="71"/>
      <c r="F11" s="15">
        <v>1</v>
      </c>
      <c r="G11" s="15"/>
      <c r="H11" s="15"/>
      <c r="I11" s="15" t="s">
        <v>106</v>
      </c>
      <c r="J11" s="15"/>
      <c r="K11" s="15"/>
      <c r="L11" s="15"/>
      <c r="M11" s="15"/>
      <c r="N11" s="15"/>
      <c r="O11" s="15" t="s">
        <v>107</v>
      </c>
      <c r="P11" s="15"/>
      <c r="Q11" s="15"/>
      <c r="R11" s="15"/>
      <c r="S11" s="15"/>
      <c r="T11" s="15"/>
      <c r="U11" s="15" t="s">
        <v>108</v>
      </c>
      <c r="V11" s="15"/>
      <c r="W11" s="15"/>
      <c r="X11" s="15"/>
      <c r="Y11" s="15"/>
      <c r="Z11" s="174"/>
      <c r="AA11" s="166"/>
      <c r="AB11" s="180"/>
      <c r="AC11" s="180"/>
      <c r="AD11" s="180"/>
      <c r="AE11" s="180"/>
      <c r="AF11" s="180"/>
      <c r="AG11" s="180"/>
      <c r="AH11" s="180"/>
      <c r="AI11" s="180"/>
      <c r="AJ11" s="180"/>
      <c r="AK11" s="166"/>
      <c r="AL11" s="166"/>
      <c r="AM11" s="166"/>
      <c r="AN11" s="166"/>
      <c r="AO11" s="166"/>
      <c r="AP11" s="166"/>
      <c r="AQ11" s="166"/>
      <c r="AR11" s="166"/>
      <c r="AS11" s="166"/>
      <c r="AT11" s="166"/>
      <c r="AU11" s="166"/>
      <c r="AV11" s="166"/>
      <c r="AW11" s="166"/>
      <c r="AX11" s="166"/>
      <c r="AY11" s="166"/>
      <c r="AZ11" s="166"/>
      <c r="BA11" s="166"/>
      <c r="BB11" s="166"/>
      <c r="BC11" s="166"/>
    </row>
    <row r="12" customHeight="1" spans="1:55">
      <c r="A12" s="166"/>
      <c r="B12" s="45"/>
      <c r="C12" s="71"/>
      <c r="D12" s="71"/>
      <c r="E12" s="71"/>
      <c r="F12" s="15"/>
      <c r="G12" s="15"/>
      <c r="H12" s="15"/>
      <c r="I12" s="15"/>
      <c r="J12" s="15"/>
      <c r="K12" s="15"/>
      <c r="L12" s="15"/>
      <c r="M12" s="15"/>
      <c r="N12" s="15"/>
      <c r="O12" s="15"/>
      <c r="P12" s="15"/>
      <c r="Q12" s="15"/>
      <c r="R12" s="15"/>
      <c r="S12" s="15"/>
      <c r="T12" s="15"/>
      <c r="U12" s="15"/>
      <c r="V12" s="15"/>
      <c r="W12" s="15"/>
      <c r="X12" s="15"/>
      <c r="Y12" s="15"/>
      <c r="Z12" s="174"/>
      <c r="AA12" s="166"/>
      <c r="AB12" s="181" t="s">
        <v>109</v>
      </c>
      <c r="AC12" s="181"/>
      <c r="AD12" s="181"/>
      <c r="AE12" s="181"/>
      <c r="AF12" s="181"/>
      <c r="AG12" s="181"/>
      <c r="AH12" s="181"/>
      <c r="AI12" s="181"/>
      <c r="AJ12" s="181"/>
      <c r="AK12" s="181"/>
      <c r="AL12" s="181"/>
      <c r="AM12" s="182" t="str">
        <f>IF(角色卡!T26="","",角色卡!T26)</f>
        <v/>
      </c>
      <c r="AN12" s="183" t="s">
        <v>110</v>
      </c>
      <c r="AO12" s="183"/>
      <c r="AP12" s="183"/>
      <c r="AQ12" s="183"/>
      <c r="AR12" s="183"/>
      <c r="AS12" s="183"/>
      <c r="AT12" s="183"/>
      <c r="AU12" s="183"/>
      <c r="AV12" s="183"/>
      <c r="AW12" s="183"/>
      <c r="AX12" s="183"/>
      <c r="AY12" s="183"/>
      <c r="AZ12" s="183"/>
      <c r="BA12" s="183"/>
      <c r="BB12" s="166"/>
      <c r="BC12" s="166"/>
    </row>
    <row r="13" customHeight="1" spans="1:55">
      <c r="A13" s="166"/>
      <c r="B13" s="51" t="s">
        <v>111</v>
      </c>
      <c r="C13" s="73"/>
      <c r="D13" s="23">
        <v>4</v>
      </c>
      <c r="E13" s="23"/>
      <c r="F13" s="23">
        <v>2</v>
      </c>
      <c r="G13" s="23"/>
      <c r="H13" s="23"/>
      <c r="I13" s="23" t="s">
        <v>112</v>
      </c>
      <c r="J13" s="23"/>
      <c r="K13" s="23"/>
      <c r="L13" s="23"/>
      <c r="M13" s="23"/>
      <c r="N13" s="23"/>
      <c r="O13" s="23" t="s">
        <v>113</v>
      </c>
      <c r="P13" s="23"/>
      <c r="Q13" s="23"/>
      <c r="R13" s="23"/>
      <c r="S13" s="23"/>
      <c r="T13" s="23"/>
      <c r="U13" s="23" t="s">
        <v>112</v>
      </c>
      <c r="V13" s="23"/>
      <c r="W13" s="23"/>
      <c r="X13" s="23"/>
      <c r="Y13" s="23"/>
      <c r="Z13" s="178"/>
      <c r="AA13" s="166"/>
      <c r="AB13" s="184" t="str">
        <f>IF(AM12&lt;=3,"","习得基础武技“常规攻击”和基础术法“灵迹”，从基础术法“凝爆”和“超感”中选择一个习得")</f>
        <v>习得基础武技“常规攻击”和基础术法“灵迹”，从基础术法“凝爆”和“超感”中选择一个习得</v>
      </c>
      <c r="AC13" s="185"/>
      <c r="AD13" s="185"/>
      <c r="AE13" s="185"/>
      <c r="AF13" s="185"/>
      <c r="AG13" s="185"/>
      <c r="AH13" s="185"/>
      <c r="AI13" s="185"/>
      <c r="AJ13" s="185"/>
      <c r="AK13" s="185"/>
      <c r="AL13" s="185"/>
      <c r="AM13" s="185"/>
      <c r="AN13" s="185"/>
      <c r="AO13" s="185"/>
      <c r="AP13" s="185"/>
      <c r="AQ13" s="185"/>
      <c r="AR13" s="185"/>
      <c r="AS13" s="185"/>
      <c r="AT13" s="185"/>
      <c r="AU13" s="185"/>
      <c r="AV13" s="185"/>
      <c r="AW13" s="185"/>
      <c r="AX13" s="185"/>
      <c r="AY13" s="185"/>
      <c r="AZ13" s="185"/>
      <c r="BA13" s="186"/>
      <c r="BB13" s="166"/>
      <c r="BC13" s="166"/>
    </row>
    <row r="14" customHeight="1" spans="1:55">
      <c r="A14" s="166"/>
      <c r="B14" s="45" t="s">
        <v>114</v>
      </c>
      <c r="C14" s="71"/>
      <c r="D14" s="71">
        <v>5</v>
      </c>
      <c r="E14" s="71"/>
      <c r="F14" s="15">
        <v>2</v>
      </c>
      <c r="G14" s="15"/>
      <c r="H14" s="15"/>
      <c r="I14" s="15" t="s">
        <v>106</v>
      </c>
      <c r="J14" s="15"/>
      <c r="K14" s="15"/>
      <c r="L14" s="15"/>
      <c r="M14" s="15"/>
      <c r="N14" s="15"/>
      <c r="O14" s="15" t="s">
        <v>107</v>
      </c>
      <c r="P14" s="15"/>
      <c r="Q14" s="15"/>
      <c r="R14" s="15"/>
      <c r="S14" s="15"/>
      <c r="T14" s="15"/>
      <c r="U14" s="15" t="s">
        <v>115</v>
      </c>
      <c r="V14" s="15"/>
      <c r="W14" s="15"/>
      <c r="X14" s="15"/>
      <c r="Y14" s="15"/>
      <c r="Z14" s="174"/>
      <c r="AA14" s="166"/>
      <c r="AB14" s="187" t="str">
        <f>IF(角色卡!V19&gt;=5,"习得基础术法“凝爆”和“超感”中的另一个","")</f>
        <v/>
      </c>
      <c r="AC14" s="188"/>
      <c r="AD14" s="188"/>
      <c r="AE14" s="188"/>
      <c r="AF14" s="188"/>
      <c r="AG14" s="188"/>
      <c r="AH14" s="188"/>
      <c r="AI14" s="188"/>
      <c r="AJ14" s="188"/>
      <c r="AK14" s="188"/>
      <c r="AL14" s="188"/>
      <c r="AM14" s="188"/>
      <c r="AN14" s="188"/>
      <c r="AO14" s="188"/>
      <c r="AP14" s="188"/>
      <c r="AQ14" s="188"/>
      <c r="AR14" s="188"/>
      <c r="AS14" s="188"/>
      <c r="AT14" s="188"/>
      <c r="AU14" s="188"/>
      <c r="AV14" s="188"/>
      <c r="AW14" s="188"/>
      <c r="AX14" s="188"/>
      <c r="AY14" s="188"/>
      <c r="AZ14" s="188"/>
      <c r="BA14" s="189"/>
      <c r="BB14" s="166"/>
      <c r="BC14" s="166"/>
    </row>
    <row r="15" customHeight="1" spans="1:55">
      <c r="A15" s="166"/>
      <c r="B15" s="45"/>
      <c r="C15" s="71"/>
      <c r="D15" s="71"/>
      <c r="E15" s="71"/>
      <c r="F15" s="15"/>
      <c r="G15" s="15"/>
      <c r="H15" s="15"/>
      <c r="I15" s="15"/>
      <c r="J15" s="15"/>
      <c r="K15" s="15"/>
      <c r="L15" s="15"/>
      <c r="M15" s="15"/>
      <c r="N15" s="15"/>
      <c r="O15" s="15"/>
      <c r="P15" s="15"/>
      <c r="Q15" s="15"/>
      <c r="R15" s="15"/>
      <c r="S15" s="15"/>
      <c r="T15" s="15"/>
      <c r="U15" s="15"/>
      <c r="V15" s="15"/>
      <c r="W15" s="15"/>
      <c r="X15" s="15"/>
      <c r="Y15" s="15"/>
      <c r="Z15" s="174"/>
      <c r="AA15" s="166"/>
      <c r="AB15" s="190" t="str">
        <f>IF(角色卡!V17&gt;=2,"可以学习普通武技","不可学习普通武技")</f>
        <v>不可学习普通武技</v>
      </c>
      <c r="AC15" s="191"/>
      <c r="AD15" s="191"/>
      <c r="AE15" s="191"/>
      <c r="AF15" s="191"/>
      <c r="AG15" s="191"/>
      <c r="AH15" s="191"/>
      <c r="AI15" s="191"/>
      <c r="AJ15" s="191"/>
      <c r="AK15" s="191"/>
      <c r="AL15" s="191"/>
      <c r="AM15" s="191"/>
      <c r="AN15" s="191"/>
      <c r="AO15" s="191" t="str">
        <f>IF(角色卡!V19&gt;=2,"可以学习普通术法","不可学习普通术法")</f>
        <v>不可学习普通术法</v>
      </c>
      <c r="AP15" s="191"/>
      <c r="AQ15" s="191"/>
      <c r="AR15" s="191"/>
      <c r="AS15" s="191"/>
      <c r="AT15" s="191"/>
      <c r="AU15" s="191"/>
      <c r="AV15" s="191"/>
      <c r="AW15" s="191"/>
      <c r="AX15" s="191"/>
      <c r="AY15" s="191"/>
      <c r="AZ15" s="191"/>
      <c r="BA15" s="192"/>
      <c r="BB15" s="166"/>
      <c r="BC15" s="166"/>
    </row>
    <row r="16" customHeight="1" spans="1:55">
      <c r="A16" s="166"/>
      <c r="B16" s="51" t="s">
        <v>116</v>
      </c>
      <c r="C16" s="73"/>
      <c r="D16" s="73">
        <v>6</v>
      </c>
      <c r="E16" s="73"/>
      <c r="F16" s="23">
        <v>3</v>
      </c>
      <c r="G16" s="23"/>
      <c r="H16" s="23"/>
      <c r="I16" s="23" t="s">
        <v>112</v>
      </c>
      <c r="J16" s="23"/>
      <c r="K16" s="23"/>
      <c r="L16" s="23"/>
      <c r="M16" s="23"/>
      <c r="N16" s="23"/>
      <c r="O16" s="23" t="s">
        <v>113</v>
      </c>
      <c r="P16" s="23"/>
      <c r="Q16" s="23"/>
      <c r="R16" s="23"/>
      <c r="S16" s="23"/>
      <c r="T16" s="23"/>
      <c r="U16" s="23" t="s">
        <v>112</v>
      </c>
      <c r="V16" s="23"/>
      <c r="W16" s="23"/>
      <c r="X16" s="23"/>
      <c r="Y16" s="23"/>
      <c r="Z16" s="178"/>
      <c r="AA16" s="166"/>
      <c r="AB16" s="190" t="str">
        <f>IF(角色卡!V17&gt;=7,"可以学习秘传武技","不可学习秘传武技")</f>
        <v>不可学习秘传武技</v>
      </c>
      <c r="AC16" s="191"/>
      <c r="AD16" s="191"/>
      <c r="AE16" s="191"/>
      <c r="AF16" s="191"/>
      <c r="AG16" s="191"/>
      <c r="AH16" s="191"/>
      <c r="AI16" s="191"/>
      <c r="AJ16" s="191"/>
      <c r="AK16" s="191"/>
      <c r="AL16" s="191"/>
      <c r="AM16" s="191"/>
      <c r="AN16" s="191"/>
      <c r="AO16" s="193" t="str">
        <f>IF(角色卡!V19&gt;=7,"可以学习秘传术法","不可学习秘传术法")</f>
        <v>不可学习秘传术法</v>
      </c>
      <c r="AP16" s="193"/>
      <c r="AQ16" s="193"/>
      <c r="AR16" s="193"/>
      <c r="AS16" s="193"/>
      <c r="AT16" s="193"/>
      <c r="AU16" s="193"/>
      <c r="AV16" s="194"/>
      <c r="AW16" s="194"/>
      <c r="AX16" s="194"/>
      <c r="AY16" s="194"/>
      <c r="AZ16" s="194"/>
      <c r="BA16" s="195"/>
      <c r="BB16" s="166"/>
      <c r="BC16" s="166"/>
    </row>
    <row r="17" customHeight="1" spans="1:55">
      <c r="A17" s="166"/>
      <c r="B17" s="45" t="s">
        <v>117</v>
      </c>
      <c r="C17" s="71"/>
      <c r="D17" s="71">
        <v>7</v>
      </c>
      <c r="E17" s="71"/>
      <c r="F17" s="15">
        <v>3</v>
      </c>
      <c r="G17" s="15"/>
      <c r="H17" s="15"/>
      <c r="I17" s="196" t="s">
        <v>118</v>
      </c>
      <c r="J17" s="15"/>
      <c r="K17" s="15"/>
      <c r="L17" s="15"/>
      <c r="M17" s="15"/>
      <c r="N17" s="15"/>
      <c r="O17" s="196" t="s">
        <v>119</v>
      </c>
      <c r="P17" s="15"/>
      <c r="Q17" s="15"/>
      <c r="R17" s="15"/>
      <c r="S17" s="15"/>
      <c r="T17" s="15"/>
      <c r="U17" s="15" t="s">
        <v>120</v>
      </c>
      <c r="V17" s="15"/>
      <c r="W17" s="15"/>
      <c r="X17" s="15"/>
      <c r="Y17" s="15"/>
      <c r="Z17" s="174"/>
      <c r="AA17" s="166"/>
      <c r="AB17" s="197" t="s">
        <v>121</v>
      </c>
      <c r="AC17" s="198"/>
      <c r="AD17" s="198"/>
      <c r="AE17" s="198"/>
      <c r="AF17" s="198"/>
      <c r="AG17" s="198"/>
      <c r="AH17" s="199"/>
      <c r="AI17" s="200" t="str">
        <f>IF(角色卡!V17&gt;=9,"5",IF(角色卡!V17&gt;=7,"4",IF(角色卡!V17&gt;=5,"3",IF(角色卡!V17&gt;=3,"2",IF(角色卡!V17&gt;=2,"1",IF(角色卡!V17="","","0"))))))</f>
        <v/>
      </c>
      <c r="AJ17" s="201" t="s">
        <v>122</v>
      </c>
      <c r="AK17" s="202"/>
      <c r="AL17" s="202"/>
      <c r="AM17" s="202"/>
      <c r="AN17" s="202"/>
      <c r="AO17" s="199" t="s">
        <v>123</v>
      </c>
      <c r="AP17" s="203"/>
      <c r="AQ17" s="203"/>
      <c r="AR17" s="203"/>
      <c r="AS17" s="203"/>
      <c r="AT17" s="203"/>
      <c r="AU17" s="203"/>
      <c r="AV17" s="200" t="str">
        <f>IF(角色卡!V19&gt;=9,"10",IF(角色卡!V19&gt;=7,"8",IF(角色卡!V19&gt;=5,"6",IF(角色卡!V19&gt;=3,"4",IF(角色卡!V19&gt;=2,"2",IF(角色卡!V19="","","0"))))))</f>
        <v/>
      </c>
      <c r="AW17" s="204" t="s">
        <v>124</v>
      </c>
      <c r="AX17" s="204"/>
      <c r="AY17" s="204"/>
      <c r="AZ17" s="204"/>
      <c r="BA17" s="205"/>
      <c r="BB17" s="166"/>
      <c r="BC17" s="166"/>
    </row>
    <row r="18" customHeight="1" spans="1:55">
      <c r="A18" s="166"/>
      <c r="B18" s="45"/>
      <c r="C18" s="71"/>
      <c r="D18" s="71"/>
      <c r="E18" s="71"/>
      <c r="F18" s="15"/>
      <c r="G18" s="15"/>
      <c r="H18" s="15"/>
      <c r="I18" s="15"/>
      <c r="J18" s="15"/>
      <c r="K18" s="15"/>
      <c r="L18" s="15"/>
      <c r="M18" s="15"/>
      <c r="N18" s="15"/>
      <c r="O18" s="15"/>
      <c r="P18" s="15"/>
      <c r="Q18" s="15"/>
      <c r="R18" s="15"/>
      <c r="S18" s="15"/>
      <c r="T18" s="15"/>
      <c r="U18" s="15"/>
      <c r="V18" s="15"/>
      <c r="W18" s="15"/>
      <c r="X18" s="15"/>
      <c r="Y18" s="15"/>
      <c r="Z18" s="174"/>
      <c r="AA18" s="166"/>
      <c r="AB18" s="197" t="s">
        <v>125</v>
      </c>
      <c r="AC18" s="198"/>
      <c r="AD18" s="198"/>
      <c r="AE18" s="198"/>
      <c r="AF18" s="198"/>
      <c r="AG18" s="198"/>
      <c r="AH18" s="199"/>
      <c r="AI18" s="200" t="str">
        <f>IF(ISBLANK(角色卡!V19),"",IF(角色卡!V19=1,"0",IF(角色卡!V19=2,"1",IF(角色卡!V19=3,"2",IF(角色卡!V19=4,"3",IF(角色卡!V19=5,"4",IF(角色卡!V19=6,"5",IF(角色卡!V19=7,"6",IF(角色卡!V19=8,"7",IF(角色卡!V19=9,"8"))))))))))</f>
        <v/>
      </c>
      <c r="AJ18" s="201" t="s">
        <v>126</v>
      </c>
      <c r="AK18" s="202"/>
      <c r="AL18" s="202"/>
      <c r="AM18" s="202"/>
      <c r="AN18" s="202"/>
      <c r="AO18" s="206"/>
      <c r="AP18" s="206"/>
      <c r="AQ18" s="206"/>
      <c r="AR18" s="206"/>
      <c r="AS18" s="206"/>
      <c r="AT18" s="206"/>
      <c r="AU18" s="206"/>
      <c r="AV18" s="207"/>
      <c r="AW18" s="207"/>
      <c r="AX18" s="207"/>
      <c r="AY18" s="207"/>
      <c r="AZ18" s="207"/>
      <c r="BA18" s="208"/>
      <c r="BB18" s="166"/>
      <c r="BC18" s="166"/>
    </row>
    <row r="19" customHeight="1" spans="1:55">
      <c r="A19" s="166"/>
      <c r="B19" s="45"/>
      <c r="C19" s="71"/>
      <c r="D19" s="71"/>
      <c r="E19" s="71"/>
      <c r="F19" s="15"/>
      <c r="G19" s="15"/>
      <c r="H19" s="15"/>
      <c r="I19" s="15"/>
      <c r="J19" s="15"/>
      <c r="K19" s="15"/>
      <c r="L19" s="15"/>
      <c r="M19" s="15"/>
      <c r="N19" s="15"/>
      <c r="O19" s="15"/>
      <c r="P19" s="15"/>
      <c r="Q19" s="15"/>
      <c r="R19" s="15"/>
      <c r="S19" s="15"/>
      <c r="T19" s="15"/>
      <c r="U19" s="15"/>
      <c r="V19" s="15"/>
      <c r="W19" s="15"/>
      <c r="X19" s="15"/>
      <c r="Y19" s="15"/>
      <c r="Z19" s="174"/>
      <c r="AA19" s="166"/>
      <c r="AB19" s="190" t="str">
        <f>IF(OR(角色卡!V21&gt;=3,角色卡!T26&gt;=12),"获得灵魂武器","未获得灵魂武器")</f>
        <v>未获得灵魂武器</v>
      </c>
      <c r="AC19" s="191"/>
      <c r="AD19" s="191"/>
      <c r="AE19" s="191"/>
      <c r="AF19" s="191"/>
      <c r="AG19" s="191"/>
      <c r="AH19" s="191"/>
      <c r="AI19" s="191"/>
      <c r="AJ19" s="191"/>
      <c r="AK19" s="191"/>
      <c r="AL19" s="191"/>
      <c r="AM19" s="191"/>
      <c r="AN19" s="191"/>
      <c r="AO19" s="209" t="s">
        <v>127</v>
      </c>
      <c r="AP19" s="210"/>
      <c r="AQ19" s="210"/>
      <c r="AR19" s="210"/>
      <c r="AS19" s="210"/>
      <c r="AT19" s="210"/>
      <c r="AU19" s="210"/>
      <c r="AV19" s="211" t="str">
        <f>IF(角色卡!V21&gt;=5,"2",IF(角色卡!V21&gt;=3,"1",IF(角色卡!V21="","","0")))</f>
        <v/>
      </c>
      <c r="AW19" s="212" t="s">
        <v>128</v>
      </c>
      <c r="AX19" s="212"/>
      <c r="AY19" s="212"/>
      <c r="AZ19" s="212"/>
      <c r="BA19" s="213"/>
      <c r="BB19" s="166"/>
      <c r="BC19" s="166"/>
    </row>
    <row r="20" customHeight="1" spans="1:55">
      <c r="A20" s="166"/>
      <c r="B20" s="51" t="s">
        <v>129</v>
      </c>
      <c r="C20" s="73"/>
      <c r="D20" s="73">
        <v>8</v>
      </c>
      <c r="E20" s="73"/>
      <c r="F20" s="23">
        <v>4</v>
      </c>
      <c r="G20" s="23"/>
      <c r="H20" s="23"/>
      <c r="I20" s="23" t="s">
        <v>112</v>
      </c>
      <c r="J20" s="23"/>
      <c r="K20" s="23"/>
      <c r="L20" s="23"/>
      <c r="M20" s="23"/>
      <c r="N20" s="23"/>
      <c r="O20" s="23" t="s">
        <v>113</v>
      </c>
      <c r="P20" s="23"/>
      <c r="Q20" s="23"/>
      <c r="R20" s="23"/>
      <c r="S20" s="23"/>
      <c r="T20" s="23"/>
      <c r="U20" s="23" t="s">
        <v>112</v>
      </c>
      <c r="V20" s="23"/>
      <c r="W20" s="23"/>
      <c r="X20" s="23"/>
      <c r="Y20" s="23"/>
      <c r="Z20" s="178"/>
      <c r="AA20" s="166"/>
      <c r="AB20" s="214" t="s">
        <v>125</v>
      </c>
      <c r="AC20" s="215"/>
      <c r="AD20" s="215"/>
      <c r="AE20" s="215"/>
      <c r="AF20" s="215"/>
      <c r="AG20" s="215"/>
      <c r="AH20" s="216"/>
      <c r="AI20" s="211" t="str">
        <f>IF(角色卡!T26&gt;=16,"2",IF(角色卡!T26&gt;=10,"1",IF(角色卡!T26="","","0")))</f>
        <v/>
      </c>
      <c r="AJ20" s="217" t="s">
        <v>130</v>
      </c>
      <c r="AK20" s="218"/>
      <c r="AL20" s="218"/>
      <c r="AM20" s="218"/>
      <c r="AN20" s="218"/>
      <c r="AO20" s="216" t="s">
        <v>125</v>
      </c>
      <c r="AP20" s="219"/>
      <c r="AQ20" s="219"/>
      <c r="AR20" s="219"/>
      <c r="AS20" s="219"/>
      <c r="AT20" s="219"/>
      <c r="AU20" s="219"/>
      <c r="AV20" s="220" t="str">
        <f>IF(角色卡!V21&gt;=9,"2",IF(角色卡!V21&gt;=2,"1",IF(角色卡!V21="","","0")))</f>
        <v/>
      </c>
      <c r="AW20" s="212" t="s">
        <v>131</v>
      </c>
      <c r="AX20" s="212"/>
      <c r="AY20" s="212"/>
      <c r="AZ20" s="212"/>
      <c r="BA20" s="213"/>
      <c r="BB20" s="166"/>
      <c r="BC20" s="166"/>
    </row>
    <row r="21" customHeight="1" spans="1:55">
      <c r="A21" s="166"/>
      <c r="B21" s="45" t="s">
        <v>132</v>
      </c>
      <c r="C21" s="71"/>
      <c r="D21" s="71">
        <v>9</v>
      </c>
      <c r="E21" s="71"/>
      <c r="F21" s="15">
        <v>4</v>
      </c>
      <c r="G21" s="15"/>
      <c r="H21" s="15"/>
      <c r="I21" s="15" t="s">
        <v>106</v>
      </c>
      <c r="J21" s="15"/>
      <c r="K21" s="15"/>
      <c r="L21" s="15"/>
      <c r="M21" s="15"/>
      <c r="N21" s="15"/>
      <c r="O21" s="15" t="s">
        <v>107</v>
      </c>
      <c r="P21" s="15"/>
      <c r="Q21" s="15"/>
      <c r="R21" s="15"/>
      <c r="S21" s="15"/>
      <c r="T21" s="15"/>
      <c r="U21" s="15" t="s">
        <v>101</v>
      </c>
      <c r="V21" s="15"/>
      <c r="W21" s="15"/>
      <c r="X21" s="15"/>
      <c r="Y21" s="15"/>
      <c r="Z21" s="174"/>
      <c r="AA21" s="166"/>
      <c r="AB21" s="187" t="str">
        <f>IF(角色卡!T26&gt;=14,"可以习得一挡绝技","不可习得一挡绝技")</f>
        <v>不可习得一挡绝技</v>
      </c>
      <c r="AC21" s="188"/>
      <c r="AD21" s="188"/>
      <c r="AE21" s="188"/>
      <c r="AF21" s="188"/>
      <c r="AG21" s="188"/>
      <c r="AH21" s="188"/>
      <c r="AI21" s="188"/>
      <c r="AJ21" s="188"/>
      <c r="AK21" s="188"/>
      <c r="AL21" s="188"/>
      <c r="AM21" s="188"/>
      <c r="AN21" s="188"/>
      <c r="AO21" s="188" t="str">
        <f>IF(角色卡!T26&gt;=18,"可以习得二挡绝技","不可习得二挡绝技")</f>
        <v>不可习得二挡绝技</v>
      </c>
      <c r="AP21" s="188"/>
      <c r="AQ21" s="188"/>
      <c r="AR21" s="188"/>
      <c r="AS21" s="188"/>
      <c r="AT21" s="188"/>
      <c r="AU21" s="188"/>
      <c r="AV21" s="188"/>
      <c r="AW21" s="188"/>
      <c r="AX21" s="188"/>
      <c r="AY21" s="188"/>
      <c r="AZ21" s="188"/>
      <c r="BA21" s="189"/>
      <c r="BB21" s="166"/>
      <c r="BC21" s="166"/>
    </row>
    <row r="22" customHeight="1" spans="1:55">
      <c r="A22" s="166"/>
      <c r="B22" s="57"/>
      <c r="C22" s="107"/>
      <c r="D22" s="107"/>
      <c r="E22" s="107"/>
      <c r="F22" s="221"/>
      <c r="G22" s="221"/>
      <c r="H22" s="221"/>
      <c r="I22" s="221"/>
      <c r="J22" s="221"/>
      <c r="K22" s="221"/>
      <c r="L22" s="221"/>
      <c r="M22" s="221"/>
      <c r="N22" s="221"/>
      <c r="O22" s="221"/>
      <c r="P22" s="221"/>
      <c r="Q22" s="221"/>
      <c r="R22" s="221"/>
      <c r="S22" s="221"/>
      <c r="T22" s="221"/>
      <c r="U22" s="221"/>
      <c r="V22" s="221"/>
      <c r="W22" s="221"/>
      <c r="X22" s="221"/>
      <c r="Y22" s="221"/>
      <c r="Z22" s="222"/>
      <c r="AA22" s="166"/>
      <c r="AB22" s="223" t="str">
        <f>IF(角色卡!V21&gt;=7,"能够创造一个额外的灵能力标签，并将总字数限制扩展至 100 字","")</f>
        <v/>
      </c>
      <c r="AC22" s="224"/>
      <c r="AD22" s="224"/>
      <c r="AE22" s="224"/>
      <c r="AF22" s="224"/>
      <c r="AG22" s="224"/>
      <c r="AH22" s="224"/>
      <c r="AI22" s="224"/>
      <c r="AJ22" s="224"/>
      <c r="AK22" s="224"/>
      <c r="AL22" s="224"/>
      <c r="AM22" s="224"/>
      <c r="AN22" s="224"/>
      <c r="AO22" s="224"/>
      <c r="AP22" s="224"/>
      <c r="AQ22" s="224"/>
      <c r="AR22" s="224"/>
      <c r="AS22" s="224"/>
      <c r="AT22" s="224"/>
      <c r="AU22" s="224"/>
      <c r="AV22" s="224"/>
      <c r="AW22" s="224"/>
      <c r="AX22" s="224"/>
      <c r="AY22" s="224"/>
      <c r="AZ22" s="224"/>
      <c r="BA22" s="225"/>
      <c r="BB22" s="166"/>
      <c r="BC22" s="166"/>
    </row>
    <row r="23" customHeight="1" spans="1:55">
      <c r="A23" s="166"/>
      <c r="B23" s="166"/>
      <c r="C23" s="166"/>
      <c r="D23" s="166"/>
      <c r="E23" s="166"/>
      <c r="F23" s="166"/>
      <c r="G23" s="166"/>
      <c r="H23" s="166"/>
      <c r="I23" s="166"/>
      <c r="J23" s="166"/>
      <c r="K23" s="166"/>
      <c r="L23" s="166"/>
      <c r="M23" s="166"/>
      <c r="N23" s="166"/>
      <c r="O23" s="166"/>
      <c r="P23" s="166"/>
      <c r="Q23" s="166"/>
      <c r="R23" s="166"/>
      <c r="S23" s="166"/>
      <c r="T23" s="166"/>
      <c r="U23" s="166"/>
      <c r="V23" s="166"/>
      <c r="W23" s="166"/>
      <c r="X23" s="166"/>
      <c r="Y23" s="166"/>
      <c r="Z23" s="166"/>
      <c r="AA23" s="166"/>
      <c r="AB23" s="166"/>
      <c r="AC23" s="166"/>
      <c r="AD23" s="166"/>
      <c r="AE23" s="166"/>
      <c r="AF23" s="166"/>
      <c r="AG23" s="166"/>
      <c r="AH23" s="166"/>
      <c r="AI23" s="166"/>
      <c r="AJ23" s="166"/>
      <c r="AK23" s="166"/>
      <c r="AL23" s="166"/>
      <c r="AM23" s="166"/>
      <c r="AN23" s="166"/>
      <c r="AO23" s="166"/>
      <c r="AP23" s="166"/>
      <c r="AQ23" s="166"/>
      <c r="AR23" s="166"/>
      <c r="AS23" s="166"/>
      <c r="AT23" s="166"/>
      <c r="AU23" s="166"/>
      <c r="AV23" s="166"/>
      <c r="AW23" s="166"/>
      <c r="AX23" s="166"/>
      <c r="AY23" s="166"/>
      <c r="AZ23" s="166"/>
      <c r="BA23" s="166"/>
      <c r="BB23" s="166"/>
      <c r="BC23" s="166"/>
    </row>
    <row r="24" customHeight="1" spans="1:55">
      <c r="A24" s="166"/>
      <c r="AA24" s="166"/>
      <c r="AB24" s="166"/>
      <c r="AC24" s="166"/>
      <c r="AD24" s="166"/>
      <c r="AE24" s="166"/>
      <c r="AF24" s="166"/>
      <c r="AG24" s="166"/>
      <c r="AH24" s="166"/>
      <c r="AI24" s="166"/>
      <c r="AJ24" s="166"/>
      <c r="AK24" s="166"/>
      <c r="AL24" s="166"/>
      <c r="AM24" s="166"/>
      <c r="AN24" s="166"/>
      <c r="AO24" s="166"/>
      <c r="AP24" s="166"/>
      <c r="AQ24" s="166"/>
      <c r="AR24" s="166"/>
      <c r="AS24" s="166"/>
      <c r="AT24" s="166"/>
      <c r="AU24" s="166"/>
      <c r="AV24" s="166"/>
      <c r="AW24" s="166"/>
      <c r="AX24" s="166"/>
      <c r="AY24" s="166"/>
      <c r="AZ24" s="166"/>
      <c r="BA24" s="166"/>
      <c r="BB24" s="166"/>
      <c r="BC24" s="166"/>
    </row>
    <row r="25" customHeight="1" spans="1:55">
      <c r="A25" s="166"/>
      <c r="AA25" s="166"/>
      <c r="AB25" s="166"/>
      <c r="AC25" s="166"/>
      <c r="AD25" s="166"/>
      <c r="AE25" s="166"/>
      <c r="AF25" s="166"/>
      <c r="AG25" s="166"/>
      <c r="AH25" s="166"/>
      <c r="AI25" s="166"/>
      <c r="AJ25" s="166"/>
      <c r="AK25" s="166"/>
      <c r="AL25" s="166"/>
      <c r="AM25" s="166"/>
      <c r="AN25" s="166"/>
      <c r="AO25" s="166"/>
      <c r="AP25" s="166"/>
      <c r="AQ25" s="166"/>
      <c r="AR25" s="166"/>
      <c r="AS25" s="166"/>
      <c r="AT25" s="166"/>
      <c r="AU25" s="166"/>
      <c r="AV25" s="166"/>
      <c r="AW25" s="166"/>
      <c r="AX25" s="166"/>
      <c r="AY25" s="166"/>
      <c r="AZ25" s="166"/>
      <c r="BA25" s="166"/>
      <c r="BB25" s="166"/>
      <c r="BC25" s="166"/>
    </row>
    <row r="26" customHeight="1" spans="1:55">
      <c r="A26" s="166"/>
      <c r="AA26" s="166"/>
      <c r="AB26" s="166"/>
      <c r="AC26" s="166"/>
      <c r="AD26" s="166"/>
      <c r="AE26" s="166"/>
      <c r="AF26" s="166"/>
      <c r="AG26" s="166"/>
      <c r="AH26" s="166"/>
      <c r="AI26" s="166"/>
      <c r="AJ26" s="166"/>
      <c r="AK26" s="166"/>
      <c r="AL26" s="166"/>
      <c r="AM26" s="166"/>
      <c r="AN26" s="166"/>
      <c r="AO26" s="166"/>
      <c r="AP26" s="166"/>
      <c r="AQ26" s="166"/>
    </row>
    <row r="27" customHeight="1" spans="1:55">
      <c r="A27" s="166"/>
      <c r="AA27" s="166"/>
      <c r="AB27" s="166"/>
      <c r="AC27" s="166"/>
      <c r="AD27" s="166"/>
      <c r="AE27" s="166"/>
      <c r="AF27" s="166"/>
      <c r="AG27" s="166"/>
      <c r="AH27" s="166"/>
      <c r="AI27" s="166"/>
      <c r="AJ27" s="166"/>
      <c r="AK27" s="166"/>
      <c r="AL27" s="166"/>
      <c r="AM27" s="166"/>
      <c r="AN27" s="166"/>
      <c r="AO27" s="166"/>
      <c r="AP27" s="166"/>
      <c r="AQ27" s="166"/>
      <c r="AR27" s="166"/>
      <c r="AS27" s="166"/>
      <c r="AT27" s="166"/>
      <c r="AU27" s="166"/>
      <c r="AV27" s="166"/>
      <c r="AW27" s="166"/>
      <c r="AX27" s="166"/>
      <c r="AY27" s="166"/>
      <c r="AZ27" s="166"/>
      <c r="BA27" s="166"/>
      <c r="BB27" s="166"/>
      <c r="BC27" s="166"/>
    </row>
    <row r="28" customHeight="1" spans="1:55">
      <c r="A28" s="166"/>
      <c r="AA28" s="166"/>
      <c r="AB28" s="166"/>
      <c r="AC28" s="166"/>
      <c r="AD28" s="166"/>
      <c r="AE28" s="166"/>
      <c r="AF28" s="166"/>
      <c r="AG28" s="166"/>
      <c r="AH28" s="166"/>
      <c r="AI28" s="166"/>
      <c r="AJ28" s="166"/>
      <c r="AK28" s="166"/>
      <c r="AL28" s="166"/>
      <c r="AM28" s="166"/>
      <c r="AN28" s="166"/>
      <c r="AO28" s="166"/>
      <c r="AP28" s="166"/>
      <c r="AQ28" s="166"/>
      <c r="AR28" s="166"/>
      <c r="AS28" s="166"/>
      <c r="AT28" s="166"/>
      <c r="AU28" s="166"/>
      <c r="AV28" s="166"/>
      <c r="AW28" s="166"/>
      <c r="AX28" s="166"/>
      <c r="AY28" s="166"/>
      <c r="AZ28" s="166"/>
      <c r="BA28" s="166"/>
      <c r="BB28" s="166"/>
      <c r="BC28" s="166"/>
    </row>
    <row r="29" customHeight="1" spans="1:55">
      <c r="A29" s="166"/>
      <c r="AA29" s="166"/>
      <c r="AB29" s="166"/>
      <c r="AC29" s="166"/>
      <c r="AD29" s="166"/>
      <c r="AE29" s="166"/>
      <c r="AF29" s="166"/>
      <c r="AG29" s="166"/>
      <c r="AH29" s="166"/>
      <c r="AI29" s="166"/>
      <c r="AJ29" s="166"/>
      <c r="AK29" s="166"/>
      <c r="AL29" s="166"/>
      <c r="AM29" s="166"/>
      <c r="AN29" s="166"/>
      <c r="AO29" s="166"/>
      <c r="AP29" s="166"/>
      <c r="AQ29" s="166"/>
      <c r="AR29" s="166"/>
      <c r="AS29" s="166"/>
      <c r="AT29" s="166"/>
      <c r="AU29" s="166"/>
      <c r="AV29" s="166"/>
      <c r="AW29" s="166"/>
      <c r="AX29" s="166"/>
      <c r="AY29" s="166"/>
      <c r="AZ29" s="166"/>
      <c r="BA29" s="166"/>
      <c r="BB29" s="166"/>
      <c r="BC29" s="166"/>
    </row>
    <row r="30" customHeight="1" spans="1:55">
      <c r="A30" s="166"/>
      <c r="B30" s="6"/>
      <c r="C30" s="6"/>
      <c r="D30" s="6"/>
      <c r="E30" s="226"/>
      <c r="F30" s="226"/>
      <c r="G30" s="226"/>
      <c r="H30" s="166"/>
      <c r="I30" s="166"/>
      <c r="J30" s="166"/>
      <c r="K30" s="166"/>
      <c r="L30" s="166"/>
      <c r="M30" s="166"/>
      <c r="N30" s="166"/>
      <c r="O30" s="166"/>
      <c r="P30" s="166"/>
      <c r="Q30" s="166"/>
      <c r="R30" s="166"/>
      <c r="S30" s="166"/>
      <c r="T30" s="166"/>
      <c r="U30" s="166"/>
      <c r="V30" s="166"/>
      <c r="W30" s="166"/>
      <c r="X30" s="166"/>
      <c r="Y30" s="166"/>
      <c r="Z30" s="166"/>
      <c r="AA30" s="166"/>
      <c r="AB30" s="166"/>
      <c r="AC30" s="166"/>
      <c r="AD30" s="166"/>
      <c r="AE30" s="166"/>
      <c r="AF30" s="166"/>
      <c r="AG30" s="166"/>
      <c r="AH30" s="166"/>
      <c r="AI30" s="166"/>
      <c r="AJ30" s="166"/>
      <c r="AK30" s="166"/>
      <c r="AL30" s="166"/>
      <c r="AM30" s="166"/>
      <c r="AN30" s="166"/>
      <c r="AO30" s="166"/>
      <c r="AP30" s="166"/>
      <c r="AQ30" s="166"/>
      <c r="AR30" s="166"/>
      <c r="AS30" s="166"/>
      <c r="AT30" s="166"/>
      <c r="AU30" s="166"/>
      <c r="AV30" s="166"/>
      <c r="AW30" s="166"/>
      <c r="AX30" s="166"/>
      <c r="AY30" s="166"/>
      <c r="AZ30" s="166"/>
      <c r="BA30" s="166"/>
      <c r="BB30" s="166"/>
      <c r="BC30" s="166"/>
    </row>
    <row r="31" customHeight="1" spans="1:55">
      <c r="A31" s="166"/>
      <c r="B31" s="6"/>
      <c r="C31" s="6"/>
      <c r="D31" s="6"/>
      <c r="E31" s="226"/>
      <c r="F31" s="226"/>
      <c r="G31" s="226"/>
      <c r="H31" s="166"/>
      <c r="I31" s="166"/>
      <c r="J31" s="166"/>
      <c r="K31" s="166"/>
      <c r="L31" s="166"/>
      <c r="M31" s="166"/>
      <c r="N31" s="166"/>
      <c r="O31" s="166"/>
      <c r="P31" s="166"/>
      <c r="Q31" s="166"/>
      <c r="R31" s="166"/>
      <c r="S31" s="166"/>
      <c r="T31" s="166"/>
      <c r="U31" s="166"/>
      <c r="V31" s="166"/>
      <c r="W31" s="166"/>
      <c r="X31" s="166"/>
      <c r="Y31" s="166"/>
      <c r="Z31" s="166"/>
      <c r="AA31" s="166"/>
      <c r="AB31" s="166"/>
      <c r="AC31" s="166"/>
      <c r="AD31" s="166"/>
      <c r="AE31" s="166"/>
      <c r="AF31" s="166"/>
      <c r="AG31" s="166"/>
      <c r="AH31" s="166"/>
      <c r="AI31" s="166"/>
      <c r="AJ31" s="166"/>
      <c r="AK31" s="166"/>
      <c r="AL31" s="166"/>
      <c r="AM31" s="166"/>
      <c r="AN31" s="166"/>
      <c r="AO31" s="166"/>
      <c r="AP31" s="166"/>
      <c r="AQ31" s="166"/>
      <c r="AR31" s="166"/>
      <c r="AS31" s="166"/>
      <c r="AT31" s="166"/>
      <c r="AU31" s="166"/>
      <c r="AV31" s="166"/>
      <c r="AW31" s="166"/>
      <c r="AX31" s="166"/>
      <c r="AY31" s="166"/>
      <c r="AZ31" s="166"/>
      <c r="BA31" s="166"/>
      <c r="BB31" s="166"/>
      <c r="BC31" s="166"/>
    </row>
    <row r="32" customHeight="1" spans="1:55">
      <c r="A32" s="166"/>
      <c r="B32" s="6"/>
      <c r="C32" s="6"/>
      <c r="D32" s="6"/>
      <c r="E32" s="226"/>
      <c r="F32" s="226"/>
      <c r="G32" s="226"/>
      <c r="H32" s="166"/>
      <c r="I32" s="166"/>
      <c r="J32" s="166"/>
      <c r="K32" s="166"/>
      <c r="L32" s="166"/>
      <c r="M32" s="166"/>
      <c r="N32" s="166"/>
      <c r="O32" s="166"/>
      <c r="P32" s="166"/>
      <c r="Q32" s="166"/>
      <c r="R32" s="166"/>
      <c r="S32" s="166"/>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c r="AP32" s="166"/>
      <c r="AQ32" s="166"/>
      <c r="AR32" s="166"/>
      <c r="AS32" s="166"/>
      <c r="AT32" s="166"/>
      <c r="AU32" s="166"/>
      <c r="AV32" s="166"/>
      <c r="AW32" s="166"/>
      <c r="AX32" s="166"/>
      <c r="AY32" s="166"/>
      <c r="AZ32" s="166"/>
      <c r="BA32" s="166"/>
      <c r="BB32" s="166"/>
      <c r="BC32" s="166"/>
    </row>
    <row r="33" customHeight="1" spans="1:55">
      <c r="A33" s="166"/>
      <c r="B33" s="6"/>
      <c r="C33" s="6"/>
      <c r="D33" s="6"/>
      <c r="E33" s="226"/>
      <c r="F33" s="226"/>
      <c r="G33" s="226"/>
      <c r="H33" s="166"/>
      <c r="I33" s="166"/>
      <c r="J33" s="166"/>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c r="AH33" s="166"/>
      <c r="AI33" s="166"/>
      <c r="AJ33" s="166"/>
      <c r="AK33" s="166"/>
      <c r="AL33" s="166"/>
      <c r="AM33" s="166"/>
      <c r="AN33" s="166"/>
      <c r="AO33" s="166"/>
      <c r="AP33" s="166"/>
      <c r="AQ33" s="166"/>
      <c r="AR33" s="166"/>
      <c r="AS33" s="166"/>
      <c r="AT33" s="166"/>
      <c r="AU33" s="166"/>
      <c r="AV33" s="166"/>
      <c r="AW33" s="166"/>
      <c r="AX33" s="166"/>
      <c r="AY33" s="166"/>
      <c r="AZ33" s="166"/>
      <c r="BA33" s="166"/>
      <c r="BB33" s="166"/>
      <c r="BC33" s="166"/>
    </row>
    <row r="34" customHeight="1" spans="1:55">
      <c r="A34" s="166"/>
      <c r="B34" s="6"/>
      <c r="C34" s="6"/>
      <c r="D34" s="6"/>
      <c r="E34" s="226"/>
      <c r="F34" s="226"/>
      <c r="G34" s="226"/>
      <c r="H34" s="166"/>
      <c r="I34" s="166"/>
      <c r="J34" s="166"/>
      <c r="K34" s="166"/>
      <c r="L34" s="166"/>
      <c r="M34" s="166"/>
      <c r="N34" s="166"/>
      <c r="O34" s="166"/>
      <c r="P34" s="166"/>
      <c r="Q34" s="166"/>
      <c r="R34" s="166"/>
      <c r="S34" s="166"/>
      <c r="T34" s="166"/>
      <c r="U34" s="166"/>
      <c r="V34" s="166"/>
      <c r="W34" s="166"/>
      <c r="X34" s="166"/>
      <c r="Y34" s="166"/>
      <c r="Z34" s="166"/>
      <c r="AA34" s="166"/>
      <c r="AB34" s="166"/>
      <c r="AC34" s="166"/>
      <c r="AD34" s="166"/>
      <c r="AE34" s="166"/>
      <c r="AF34" s="166"/>
      <c r="AG34" s="166"/>
      <c r="AH34" s="166"/>
      <c r="AI34" s="166"/>
      <c r="AJ34" s="166"/>
      <c r="AK34" s="166"/>
      <c r="AL34" s="166"/>
      <c r="AM34" s="166"/>
      <c r="AN34" s="166"/>
      <c r="AO34" s="166"/>
      <c r="AP34" s="166"/>
      <c r="AQ34" s="166"/>
      <c r="AR34" s="166"/>
      <c r="AS34" s="166"/>
      <c r="AT34" s="166"/>
      <c r="AU34" s="166"/>
      <c r="AV34" s="166"/>
      <c r="AW34" s="166"/>
      <c r="AX34" s="166"/>
      <c r="AY34" s="166"/>
      <c r="AZ34" s="166"/>
      <c r="BA34" s="166"/>
      <c r="BB34" s="166"/>
      <c r="BC34" s="166"/>
    </row>
    <row r="35" customHeight="1" spans="1:55">
      <c r="A35" s="166"/>
      <c r="B35" s="6"/>
      <c r="C35" s="6"/>
      <c r="D35" s="6"/>
      <c r="E35" s="226"/>
      <c r="F35" s="226"/>
      <c r="G35" s="226"/>
      <c r="H35" s="166"/>
      <c r="I35" s="166"/>
      <c r="J35" s="166"/>
      <c r="K35" s="166"/>
      <c r="L35" s="166"/>
      <c r="M35" s="166"/>
      <c r="N35" s="166"/>
      <c r="O35" s="166"/>
      <c r="P35" s="166"/>
      <c r="Q35" s="166"/>
      <c r="R35" s="166"/>
      <c r="S35" s="166"/>
      <c r="T35" s="166"/>
      <c r="U35" s="166"/>
      <c r="V35" s="166"/>
      <c r="W35" s="166"/>
      <c r="X35" s="166"/>
      <c r="Y35" s="166"/>
      <c r="Z35" s="166"/>
      <c r="AA35" s="166"/>
      <c r="AB35" s="166"/>
      <c r="AC35" s="166"/>
      <c r="AD35" s="166"/>
      <c r="AE35" s="166"/>
      <c r="AF35" s="166"/>
      <c r="AG35" s="166"/>
      <c r="AH35" s="166"/>
      <c r="AI35" s="166"/>
      <c r="AJ35" s="166"/>
      <c r="AK35" s="166"/>
      <c r="AL35" s="166"/>
      <c r="AM35" s="166"/>
      <c r="AN35" s="166"/>
      <c r="AO35" s="166"/>
      <c r="AP35" s="166"/>
      <c r="AQ35" s="166"/>
      <c r="AR35" s="166"/>
      <c r="AS35" s="166"/>
      <c r="AT35" s="166"/>
      <c r="AU35" s="166"/>
      <c r="AV35" s="166"/>
      <c r="AW35" s="166"/>
      <c r="AX35" s="166"/>
      <c r="AY35" s="166"/>
      <c r="AZ35" s="166"/>
      <c r="BA35" s="166"/>
      <c r="BB35" s="166"/>
      <c r="BC35" s="166"/>
    </row>
    <row r="36" customHeight="1" spans="1:55">
      <c r="A36" s="166"/>
      <c r="B36" s="166"/>
      <c r="C36" s="166"/>
      <c r="D36" s="166"/>
      <c r="E36" s="166"/>
      <c r="F36" s="166"/>
      <c r="G36" s="166"/>
      <c r="H36" s="166"/>
      <c r="I36" s="166"/>
      <c r="J36" s="166"/>
      <c r="K36" s="166"/>
      <c r="L36" s="166"/>
      <c r="M36" s="166"/>
      <c r="N36" s="166"/>
      <c r="O36" s="166"/>
      <c r="P36" s="166"/>
      <c r="Q36" s="166"/>
      <c r="R36" s="166"/>
      <c r="S36" s="166"/>
      <c r="T36" s="166"/>
      <c r="U36" s="166"/>
      <c r="V36" s="166"/>
      <c r="W36" s="166"/>
      <c r="X36" s="166"/>
      <c r="Y36" s="166"/>
      <c r="Z36" s="166"/>
      <c r="AA36" s="166"/>
      <c r="AB36" s="166"/>
      <c r="AC36" s="166"/>
      <c r="AD36" s="166"/>
      <c r="AE36" s="166"/>
      <c r="AF36" s="166"/>
      <c r="AG36" s="166"/>
      <c r="AH36" s="166"/>
      <c r="AI36" s="166"/>
      <c r="AJ36" s="166"/>
      <c r="AK36" s="166"/>
      <c r="AL36" s="166"/>
      <c r="AM36" s="166"/>
      <c r="AN36" s="166"/>
      <c r="AO36" s="166"/>
      <c r="AP36" s="166"/>
      <c r="AQ36" s="166"/>
      <c r="AR36" s="166"/>
      <c r="AS36" s="166"/>
      <c r="AT36" s="166"/>
      <c r="AU36" s="166"/>
      <c r="AV36" s="166"/>
      <c r="AW36" s="166"/>
      <c r="AX36" s="166"/>
      <c r="AY36" s="166"/>
      <c r="AZ36" s="166"/>
      <c r="BA36" s="166"/>
      <c r="BB36" s="166"/>
      <c r="BC36" s="166"/>
    </row>
    <row r="37" customHeight="1" spans="1:55">
      <c r="A37" s="166"/>
      <c r="B37" s="166"/>
      <c r="C37" s="166"/>
      <c r="D37" s="166"/>
      <c r="E37" s="166"/>
      <c r="F37" s="166"/>
      <c r="G37" s="166"/>
      <c r="H37" s="166"/>
      <c r="I37" s="166"/>
      <c r="J37" s="166"/>
      <c r="K37" s="166"/>
      <c r="L37" s="166"/>
      <c r="M37" s="166"/>
      <c r="N37" s="166"/>
      <c r="O37" s="166"/>
      <c r="P37" s="166"/>
      <c r="Q37" s="166"/>
      <c r="R37" s="166"/>
      <c r="S37" s="166"/>
      <c r="T37" s="166"/>
      <c r="U37" s="166"/>
      <c r="V37" s="166"/>
      <c r="W37" s="166"/>
      <c r="X37" s="166"/>
      <c r="Y37" s="166"/>
      <c r="Z37" s="166"/>
      <c r="AA37" s="166"/>
      <c r="AB37" s="166"/>
      <c r="AC37" s="166"/>
      <c r="AD37" s="166"/>
      <c r="AE37" s="166"/>
      <c r="AF37" s="166"/>
      <c r="AG37" s="166"/>
      <c r="AH37" s="166"/>
      <c r="AI37" s="166"/>
      <c r="AJ37" s="166"/>
      <c r="AK37" s="166"/>
      <c r="AL37" s="166"/>
      <c r="AM37" s="166"/>
      <c r="AN37" s="166"/>
      <c r="AO37" s="166"/>
      <c r="AP37" s="166"/>
      <c r="AQ37" s="166"/>
      <c r="AR37" s="166"/>
      <c r="AS37" s="166"/>
      <c r="AT37" s="166"/>
      <c r="AU37" s="166"/>
      <c r="AV37" s="166"/>
      <c r="AW37" s="166"/>
      <c r="AX37" s="166"/>
      <c r="AY37" s="166"/>
      <c r="AZ37" s="166"/>
      <c r="BA37" s="166"/>
      <c r="BB37" s="166"/>
      <c r="BC37" s="166"/>
    </row>
    <row r="38" customHeight="1" spans="1:55">
      <c r="A38" s="166"/>
      <c r="B38" s="166"/>
      <c r="C38" s="166"/>
      <c r="D38" s="166"/>
      <c r="E38" s="166"/>
      <c r="F38" s="166"/>
      <c r="G38" s="166"/>
      <c r="H38" s="166"/>
      <c r="I38" s="166"/>
      <c r="J38" s="166"/>
      <c r="K38" s="166"/>
      <c r="L38" s="166"/>
      <c r="M38" s="166"/>
      <c r="N38" s="166"/>
      <c r="O38" s="166"/>
      <c r="P38" s="166"/>
      <c r="Q38" s="166"/>
      <c r="R38" s="166"/>
      <c r="S38" s="166"/>
      <c r="T38" s="166"/>
      <c r="U38" s="166"/>
      <c r="V38" s="166"/>
      <c r="W38" s="166"/>
      <c r="X38" s="166"/>
      <c r="Y38" s="166"/>
      <c r="Z38" s="166"/>
      <c r="AA38" s="166"/>
      <c r="AB38" s="166"/>
      <c r="AC38" s="166"/>
      <c r="AD38" s="166"/>
      <c r="AE38" s="166"/>
      <c r="AF38" s="166"/>
      <c r="AG38" s="166"/>
      <c r="AH38" s="166"/>
      <c r="AI38" s="166"/>
      <c r="AJ38" s="166"/>
      <c r="AK38" s="166"/>
      <c r="AL38" s="166"/>
      <c r="AM38" s="166"/>
      <c r="AN38" s="166"/>
      <c r="AO38" s="166"/>
      <c r="AP38" s="166"/>
      <c r="AQ38" s="166"/>
      <c r="AR38" s="166"/>
      <c r="AS38" s="166"/>
      <c r="AT38" s="166"/>
      <c r="AU38" s="166"/>
      <c r="AV38" s="166"/>
      <c r="AW38" s="166"/>
      <c r="AX38" s="166"/>
      <c r="AY38" s="166"/>
      <c r="AZ38" s="166"/>
      <c r="BA38" s="166"/>
      <c r="BB38" s="166"/>
      <c r="BC38" s="166"/>
    </row>
    <row r="39" customHeight="1" spans="1:55">
      <c r="A39" s="166"/>
      <c r="B39" s="166"/>
      <c r="C39" s="166"/>
      <c r="D39" s="166"/>
      <c r="E39" s="166"/>
      <c r="F39" s="166"/>
      <c r="G39" s="166"/>
      <c r="H39" s="166"/>
      <c r="I39" s="166"/>
      <c r="J39" s="166"/>
      <c r="K39" s="166"/>
      <c r="L39" s="166"/>
      <c r="M39" s="166"/>
      <c r="N39" s="166"/>
      <c r="O39" s="166"/>
      <c r="P39" s="166"/>
      <c r="Q39" s="166"/>
      <c r="R39" s="166"/>
      <c r="S39" s="166"/>
      <c r="T39" s="166"/>
      <c r="U39" s="166"/>
      <c r="V39" s="166"/>
      <c r="W39" s="166"/>
      <c r="X39" s="166"/>
      <c r="Y39" s="166"/>
      <c r="Z39" s="166"/>
      <c r="AA39" s="166"/>
      <c r="AB39" s="166"/>
      <c r="AC39" s="166"/>
      <c r="AD39" s="166"/>
      <c r="AE39" s="166"/>
      <c r="AF39" s="166"/>
      <c r="AG39" s="166"/>
      <c r="AH39" s="166"/>
      <c r="AI39" s="166"/>
      <c r="AJ39" s="166"/>
      <c r="AK39" s="166"/>
      <c r="AL39" s="166"/>
      <c r="AM39" s="166"/>
      <c r="AN39" s="166"/>
      <c r="AO39" s="166"/>
      <c r="AP39" s="166"/>
      <c r="AQ39" s="166"/>
      <c r="AR39" s="166"/>
      <c r="AS39" s="166"/>
      <c r="AT39" s="166"/>
      <c r="AU39" s="166"/>
      <c r="AV39" s="166"/>
      <c r="AW39" s="166"/>
      <c r="AX39" s="166"/>
      <c r="AY39" s="166"/>
      <c r="AZ39" s="166"/>
      <c r="BA39" s="166"/>
      <c r="BB39" s="166"/>
      <c r="BC39" s="166"/>
    </row>
    <row r="40" customHeight="1" spans="1:55">
      <c r="A40" s="166"/>
      <c r="B40" s="166"/>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166"/>
      <c r="AB40" s="166"/>
      <c r="AC40" s="166"/>
      <c r="AD40" s="166"/>
      <c r="AE40" s="166"/>
      <c r="AF40" s="166"/>
      <c r="AG40" s="166"/>
      <c r="AH40" s="166"/>
      <c r="AI40" s="166"/>
      <c r="AJ40" s="166"/>
      <c r="AK40" s="166"/>
      <c r="AL40" s="166"/>
      <c r="AM40" s="166"/>
      <c r="AN40" s="166"/>
      <c r="AO40" s="166"/>
      <c r="AP40" s="166"/>
      <c r="AQ40" s="166"/>
      <c r="AR40" s="166"/>
      <c r="AS40" s="166"/>
      <c r="AT40" s="166"/>
      <c r="AU40" s="166"/>
      <c r="AV40" s="166"/>
      <c r="AW40" s="166"/>
      <c r="AX40" s="166"/>
      <c r="AY40" s="166"/>
      <c r="AZ40" s="166"/>
      <c r="BA40" s="166"/>
      <c r="BB40" s="166"/>
      <c r="BC40" s="166"/>
    </row>
    <row r="41" customHeight="1" spans="1:55">
      <c r="A41" s="166"/>
      <c r="B41" s="166"/>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c r="AH41" s="166"/>
      <c r="AI41" s="166"/>
      <c r="AJ41" s="166"/>
      <c r="AK41" s="166"/>
      <c r="AL41" s="166"/>
      <c r="AM41" s="166"/>
      <c r="AN41" s="166"/>
      <c r="AO41" s="166"/>
      <c r="AP41" s="166"/>
      <c r="AQ41" s="166"/>
      <c r="AR41" s="166"/>
      <c r="AS41" s="166"/>
      <c r="AT41" s="166"/>
      <c r="AU41" s="166"/>
      <c r="AV41" s="166"/>
      <c r="AW41" s="166"/>
      <c r="AX41" s="166"/>
      <c r="AY41" s="166"/>
      <c r="AZ41" s="166"/>
      <c r="BA41" s="166"/>
      <c r="BB41" s="166"/>
      <c r="BC41" s="166"/>
    </row>
  </sheetData>
  <sheetProtection sheet="1" objects="1"/>
  <mergeCells count="97">
    <mergeCell ref="AB6:AC6"/>
    <mergeCell ref="AD6:AJ6"/>
    <mergeCell ref="AB7:AC7"/>
    <mergeCell ref="AD7:AJ7"/>
    <mergeCell ref="AB8:AC8"/>
    <mergeCell ref="AD8:AJ8"/>
    <mergeCell ref="AB9:AC9"/>
    <mergeCell ref="AD9:AJ9"/>
    <mergeCell ref="AB10:AC10"/>
    <mergeCell ref="AD10:AJ10"/>
    <mergeCell ref="AB12:AL12"/>
    <mergeCell ref="AN12:BA12"/>
    <mergeCell ref="B13:C13"/>
    <mergeCell ref="D13:E13"/>
    <mergeCell ref="F13:H13"/>
    <mergeCell ref="I13:N13"/>
    <mergeCell ref="O13:T13"/>
    <mergeCell ref="U13:Z13"/>
    <mergeCell ref="AB13:BA13"/>
    <mergeCell ref="AB14:BA14"/>
    <mergeCell ref="AB15:AN15"/>
    <mergeCell ref="AO15:BA15"/>
    <mergeCell ref="B16:C16"/>
    <mergeCell ref="D16:E16"/>
    <mergeCell ref="F16:H16"/>
    <mergeCell ref="I16:N16"/>
    <mergeCell ref="O16:T16"/>
    <mergeCell ref="U16:Z16"/>
    <mergeCell ref="AB16:AN16"/>
    <mergeCell ref="AO16:BA16"/>
    <mergeCell ref="AB17:AH17"/>
    <mergeCell ref="AJ17:AN17"/>
    <mergeCell ref="AO17:AU17"/>
    <mergeCell ref="AW17:BA17"/>
    <mergeCell ref="AB18:AH18"/>
    <mergeCell ref="AJ18:AN18"/>
    <mergeCell ref="AO18:BA18"/>
    <mergeCell ref="AB19:AN19"/>
    <mergeCell ref="AO19:AU19"/>
    <mergeCell ref="AW19:BA19"/>
    <mergeCell ref="B20:C20"/>
    <mergeCell ref="D20:E20"/>
    <mergeCell ref="F20:H20"/>
    <mergeCell ref="I20:N20"/>
    <mergeCell ref="O20:T20"/>
    <mergeCell ref="U20:Z20"/>
    <mergeCell ref="AB20:AH20"/>
    <mergeCell ref="AJ20:AN20"/>
    <mergeCell ref="AO20:AU20"/>
    <mergeCell ref="AW20:BA20"/>
    <mergeCell ref="AB21:AN21"/>
    <mergeCell ref="AO21:BA21"/>
    <mergeCell ref="AB22:BA22"/>
    <mergeCell ref="B2:Z3"/>
    <mergeCell ref="B4:C5"/>
    <mergeCell ref="D4:E5"/>
    <mergeCell ref="AB4:AC5"/>
    <mergeCell ref="F4:H5"/>
    <mergeCell ref="I4:N5"/>
    <mergeCell ref="O4:T5"/>
    <mergeCell ref="U4:Z5"/>
    <mergeCell ref="B6:C7"/>
    <mergeCell ref="D6:E7"/>
    <mergeCell ref="F6:H7"/>
    <mergeCell ref="I6:Z7"/>
    <mergeCell ref="B8:C10"/>
    <mergeCell ref="D8:E10"/>
    <mergeCell ref="F8:H10"/>
    <mergeCell ref="I8:N10"/>
    <mergeCell ref="O8:T10"/>
    <mergeCell ref="U8:Z10"/>
    <mergeCell ref="B11:C12"/>
    <mergeCell ref="D11:E12"/>
    <mergeCell ref="F11:H12"/>
    <mergeCell ref="I11:N12"/>
    <mergeCell ref="O11:T12"/>
    <mergeCell ref="U11:Z12"/>
    <mergeCell ref="B14:C15"/>
    <mergeCell ref="D14:E15"/>
    <mergeCell ref="F14:H15"/>
    <mergeCell ref="I14:N15"/>
    <mergeCell ref="O14:T15"/>
    <mergeCell ref="U14:Z15"/>
    <mergeCell ref="B17:C19"/>
    <mergeCell ref="D17:E19"/>
    <mergeCell ref="F17:H19"/>
    <mergeCell ref="I17:N19"/>
    <mergeCell ref="O17:T19"/>
    <mergeCell ref="U17:Z19"/>
    <mergeCell ref="B21:C22"/>
    <mergeCell ref="D21:E22"/>
    <mergeCell ref="F21:H22"/>
    <mergeCell ref="I21:N22"/>
    <mergeCell ref="O21:T22"/>
    <mergeCell ref="U21:Z22"/>
    <mergeCell ref="AD4:AJ5"/>
    <mergeCell ref="AB2:AJ3"/>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BZ69"/>
  <sheetViews>
    <sheetView workbookViewId="0">
      <selection activeCell="B2" sqref="B2:D2"/>
    </sheetView>
  </sheetViews>
  <sheetFormatPr defaultColWidth="3.625" defaultRowHeight="18" customHeight="1"/>
  <cols>
    <col min="1" max="1" width="3.625" style="1" customWidth="1"/>
    <col min="2" max="3" width="12.625" style="1" customWidth="1"/>
    <col min="4" max="4" width="192.625" style="1" customWidth="1"/>
    <col min="5" max="16326" width="3.625" style="1" customWidth="1"/>
    <col min="16327" max="16384" width="3.625" style="1"/>
  </cols>
  <sheetData>
    <row r="1" customHeight="1" spans="2:78">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row>
    <row r="2" ht="36" customHeight="1" spans="2:78">
      <c r="B2" s="109" t="s">
        <v>4</v>
      </c>
      <c r="C2" s="110"/>
      <c r="D2" s="111"/>
      <c r="E2" s="42"/>
      <c r="F2" s="38"/>
      <c r="G2" s="38"/>
      <c r="H2" s="42"/>
      <c r="I2" s="38"/>
      <c r="J2" s="38"/>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row>
    <row r="3" ht="36" customHeight="1" spans="2:78">
      <c r="B3" s="39" t="s">
        <v>9</v>
      </c>
      <c r="C3" s="68" t="s">
        <v>10</v>
      </c>
      <c r="D3" s="112" t="s">
        <v>11</v>
      </c>
      <c r="E3" s="42"/>
      <c r="F3" s="19" t="s">
        <v>133</v>
      </c>
      <c r="G3" s="19" t="s">
        <v>134</v>
      </c>
      <c r="H3" s="42"/>
      <c r="I3" s="38"/>
      <c r="J3" s="38"/>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row>
    <row r="4" customHeight="1" spans="2:78">
      <c r="B4" s="45" t="s">
        <v>13</v>
      </c>
      <c r="C4" s="71" t="s">
        <v>14</v>
      </c>
      <c r="D4" s="113" t="s">
        <v>135</v>
      </c>
      <c r="E4" s="42"/>
      <c r="F4" s="19" t="s">
        <v>136</v>
      </c>
      <c r="G4" s="19" t="s">
        <v>137</v>
      </c>
      <c r="H4" s="42"/>
      <c r="I4" s="38"/>
      <c r="J4" s="38"/>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row>
    <row r="5" customHeight="1" spans="2:78">
      <c r="B5" s="114" t="s">
        <v>134</v>
      </c>
      <c r="C5" s="73" t="s">
        <v>18</v>
      </c>
      <c r="D5" s="115" t="s">
        <v>136</v>
      </c>
      <c r="E5" s="42"/>
      <c r="F5" s="19" t="s">
        <v>138</v>
      </c>
      <c r="G5" s="19" t="s">
        <v>139</v>
      </c>
      <c r="H5" s="42"/>
      <c r="I5" s="38"/>
      <c r="J5" s="38"/>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row>
    <row r="6" customHeight="1" spans="2:78">
      <c r="B6" s="116"/>
      <c r="C6" s="71" t="s">
        <v>19</v>
      </c>
      <c r="D6" s="117" t="s">
        <v>140</v>
      </c>
      <c r="E6" s="42"/>
      <c r="F6" s="19" t="s">
        <v>141</v>
      </c>
      <c r="G6" s="19" t="s">
        <v>142</v>
      </c>
      <c r="I6" s="38"/>
      <c r="J6" s="38"/>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row>
    <row r="7" customHeight="1" spans="2:78">
      <c r="B7" s="116"/>
      <c r="C7" s="73" t="s">
        <v>20</v>
      </c>
      <c r="D7" s="115" t="s">
        <v>143</v>
      </c>
      <c r="E7" s="42"/>
      <c r="F7" s="19" t="s">
        <v>144</v>
      </c>
      <c r="G7" s="19" t="s">
        <v>145</v>
      </c>
      <c r="I7" s="38"/>
      <c r="J7" s="38"/>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row>
    <row r="8" customHeight="1" spans="2:78">
      <c r="B8" s="116"/>
      <c r="C8" s="71" t="s">
        <v>21</v>
      </c>
      <c r="D8" s="117" t="s">
        <v>146</v>
      </c>
      <c r="E8" s="42"/>
      <c r="F8" s="19" t="s">
        <v>147</v>
      </c>
      <c r="G8" s="19" t="s">
        <v>148</v>
      </c>
      <c r="I8" s="38"/>
      <c r="J8" s="38"/>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row>
    <row r="9" customHeight="1" spans="2:78">
      <c r="B9" s="118"/>
      <c r="C9" s="73" t="s">
        <v>25</v>
      </c>
      <c r="D9" s="115" t="s">
        <v>149</v>
      </c>
      <c r="E9" s="42"/>
      <c r="F9" s="19" t="s">
        <v>150</v>
      </c>
      <c r="G9" s="19" t="s">
        <v>151</v>
      </c>
      <c r="I9" s="38"/>
      <c r="J9" s="38"/>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row>
    <row r="10" customHeight="1" spans="2:78">
      <c r="B10" s="119" t="s">
        <v>139</v>
      </c>
      <c r="C10" s="71" t="s">
        <v>18</v>
      </c>
      <c r="D10" s="117" t="s">
        <v>138</v>
      </c>
      <c r="E10" s="42"/>
      <c r="F10" s="19" t="s">
        <v>140</v>
      </c>
      <c r="G10" s="38" t="s">
        <v>16</v>
      </c>
      <c r="H10" s="42"/>
      <c r="I10" s="38"/>
      <c r="J10" s="38"/>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row>
    <row r="11" customHeight="1" spans="2:78">
      <c r="B11" s="119"/>
      <c r="C11" s="73" t="s">
        <v>19</v>
      </c>
      <c r="D11" s="115" t="s">
        <v>152</v>
      </c>
      <c r="E11" s="42"/>
      <c r="F11" s="19" t="s">
        <v>152</v>
      </c>
      <c r="G11" s="38"/>
      <c r="H11" s="42"/>
      <c r="I11" s="38"/>
      <c r="J11" s="38"/>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row>
    <row r="12" customHeight="1" spans="2:78">
      <c r="B12" s="119"/>
      <c r="C12" s="71" t="s">
        <v>20</v>
      </c>
      <c r="D12" s="117" t="s">
        <v>153</v>
      </c>
      <c r="E12" s="42"/>
      <c r="F12" s="19" t="s">
        <v>154</v>
      </c>
      <c r="G12" s="38"/>
      <c r="H12" s="42"/>
      <c r="I12" s="38"/>
      <c r="J12" s="38"/>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c r="BS12" s="42"/>
      <c r="BT12" s="42"/>
      <c r="BU12" s="42"/>
      <c r="BV12" s="42"/>
      <c r="BW12" s="42"/>
      <c r="BX12" s="42"/>
      <c r="BY12" s="42"/>
      <c r="BZ12" s="42"/>
    </row>
    <row r="13" customHeight="1" spans="2:78">
      <c r="B13" s="119"/>
      <c r="C13" s="73" t="s">
        <v>21</v>
      </c>
      <c r="D13" s="115" t="s">
        <v>155</v>
      </c>
      <c r="E13" s="42"/>
      <c r="F13" s="19" t="s">
        <v>156</v>
      </c>
      <c r="G13" s="38"/>
      <c r="H13" s="42"/>
      <c r="I13" s="38"/>
      <c r="J13" s="38"/>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row>
    <row r="14" customHeight="1" spans="2:78">
      <c r="B14" s="119"/>
      <c r="C14" s="71" t="s">
        <v>25</v>
      </c>
      <c r="D14" s="117" t="s">
        <v>157</v>
      </c>
      <c r="E14" s="42"/>
      <c r="F14" s="19" t="s">
        <v>158</v>
      </c>
      <c r="G14" s="38"/>
      <c r="H14" s="42"/>
      <c r="I14" s="38"/>
      <c r="J14" s="38"/>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row>
    <row r="15" customHeight="1" spans="2:78">
      <c r="B15" s="114" t="s">
        <v>137</v>
      </c>
      <c r="C15" s="73" t="s">
        <v>18</v>
      </c>
      <c r="D15" s="115" t="s">
        <v>159</v>
      </c>
      <c r="E15" s="42"/>
      <c r="F15" s="19" t="s">
        <v>160</v>
      </c>
      <c r="G15" s="38"/>
      <c r="H15" s="42"/>
      <c r="I15" s="38"/>
      <c r="J15" s="38"/>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c r="BV15" s="42"/>
      <c r="BW15" s="42"/>
      <c r="BX15" s="42"/>
      <c r="BY15" s="42"/>
      <c r="BZ15" s="42"/>
    </row>
    <row r="16" customHeight="1" spans="2:78">
      <c r="B16" s="116"/>
      <c r="C16" s="71" t="s">
        <v>19</v>
      </c>
      <c r="D16" s="117" t="s">
        <v>154</v>
      </c>
      <c r="E16" s="42"/>
      <c r="F16" s="19" t="s">
        <v>161</v>
      </c>
      <c r="G16" s="38"/>
      <c r="H16" s="42"/>
      <c r="I16" s="38"/>
      <c r="J16" s="38"/>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c r="BR16" s="42"/>
      <c r="BS16" s="42"/>
      <c r="BT16" s="42"/>
      <c r="BU16" s="42"/>
      <c r="BV16" s="42"/>
      <c r="BW16" s="42"/>
      <c r="BX16" s="42"/>
      <c r="BY16" s="42"/>
      <c r="BZ16" s="42"/>
    </row>
    <row r="17" customHeight="1" spans="2:78">
      <c r="B17" s="116"/>
      <c r="C17" s="73" t="s">
        <v>20</v>
      </c>
      <c r="D17" s="115" t="s">
        <v>162</v>
      </c>
      <c r="E17" s="42"/>
      <c r="F17" s="19" t="s">
        <v>153</v>
      </c>
      <c r="G17" s="38"/>
      <c r="H17" s="42"/>
      <c r="I17" s="38"/>
      <c r="J17" s="38"/>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row>
    <row r="18" ht="36" customHeight="1" spans="2:78">
      <c r="B18" s="116"/>
      <c r="C18" s="71" t="s">
        <v>21</v>
      </c>
      <c r="D18" s="117" t="s">
        <v>163</v>
      </c>
      <c r="E18" s="42"/>
      <c r="F18" s="19" t="s">
        <v>162</v>
      </c>
      <c r="G18" s="38"/>
      <c r="H18" s="42"/>
      <c r="I18" s="38"/>
      <c r="J18" s="38"/>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row>
    <row r="19" customHeight="1" spans="2:78">
      <c r="B19" s="118"/>
      <c r="C19" s="73" t="s">
        <v>25</v>
      </c>
      <c r="D19" s="115" t="s">
        <v>164</v>
      </c>
      <c r="E19" s="42"/>
      <c r="F19" s="19" t="s">
        <v>165</v>
      </c>
      <c r="G19" s="38"/>
      <c r="H19" s="42"/>
      <c r="I19" s="38"/>
      <c r="J19" s="38"/>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row>
    <row r="20" customHeight="1" spans="2:78">
      <c r="B20" s="120" t="s">
        <v>142</v>
      </c>
      <c r="C20" s="71" t="s">
        <v>18</v>
      </c>
      <c r="D20" s="117" t="s">
        <v>144</v>
      </c>
      <c r="E20" s="42"/>
      <c r="F20" s="19" t="s">
        <v>166</v>
      </c>
      <c r="G20" s="38"/>
      <c r="H20" s="42"/>
      <c r="I20" s="38"/>
      <c r="J20" s="38"/>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c r="BR20" s="42"/>
      <c r="BS20" s="42"/>
      <c r="BT20" s="42"/>
      <c r="BU20" s="42"/>
      <c r="BV20" s="42"/>
      <c r="BW20" s="42"/>
      <c r="BX20" s="42"/>
      <c r="BY20" s="42"/>
      <c r="BZ20" s="42"/>
    </row>
    <row r="21" customHeight="1" spans="2:78">
      <c r="B21" s="119"/>
      <c r="C21" s="73" t="s">
        <v>19</v>
      </c>
      <c r="D21" s="115" t="s">
        <v>156</v>
      </c>
      <c r="E21" s="42"/>
      <c r="F21" s="19" t="s">
        <v>167</v>
      </c>
      <c r="G21" s="38"/>
      <c r="H21" s="42"/>
      <c r="I21" s="38"/>
      <c r="J21" s="38"/>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c r="BR21" s="42"/>
      <c r="BS21" s="42"/>
      <c r="BT21" s="42"/>
      <c r="BU21" s="42"/>
      <c r="BV21" s="42"/>
      <c r="BW21" s="42"/>
      <c r="BX21" s="42"/>
      <c r="BY21" s="42"/>
      <c r="BZ21" s="42"/>
    </row>
    <row r="22" customHeight="1" spans="2:78">
      <c r="B22" s="119"/>
      <c r="C22" s="71" t="s">
        <v>20</v>
      </c>
      <c r="D22" s="117" t="s">
        <v>168</v>
      </c>
      <c r="E22" s="42"/>
      <c r="F22" s="19" t="s">
        <v>146</v>
      </c>
      <c r="G22" s="38"/>
      <c r="H22" s="42"/>
      <c r="I22" s="38"/>
      <c r="J22" s="38"/>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c r="BR22" s="42"/>
      <c r="BS22" s="42"/>
      <c r="BT22" s="42"/>
      <c r="BU22" s="42"/>
      <c r="BV22" s="42"/>
      <c r="BW22" s="42"/>
      <c r="BX22" s="42"/>
      <c r="BY22" s="42"/>
      <c r="BZ22" s="42"/>
    </row>
    <row r="23" customHeight="1" spans="2:78">
      <c r="B23" s="119"/>
      <c r="C23" s="73" t="s">
        <v>21</v>
      </c>
      <c r="D23" s="115" t="s">
        <v>169</v>
      </c>
      <c r="E23" s="42"/>
      <c r="F23" s="19" t="s">
        <v>155</v>
      </c>
      <c r="G23" s="38"/>
      <c r="H23" s="42"/>
      <c r="I23" s="38"/>
      <c r="J23" s="38"/>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c r="BR23" s="42"/>
      <c r="BS23" s="42"/>
      <c r="BT23" s="42"/>
      <c r="BU23" s="42"/>
      <c r="BV23" s="42"/>
      <c r="BW23" s="42"/>
      <c r="BX23" s="42"/>
      <c r="BY23" s="42"/>
      <c r="BZ23" s="42"/>
    </row>
    <row r="24" customHeight="1" spans="2:78">
      <c r="B24" s="75"/>
      <c r="C24" s="71" t="s">
        <v>25</v>
      </c>
      <c r="D24" s="117" t="s">
        <v>170</v>
      </c>
      <c r="E24" s="42"/>
      <c r="F24" s="19" t="s">
        <v>171</v>
      </c>
      <c r="G24" s="38"/>
      <c r="H24" s="42"/>
      <c r="I24" s="38"/>
      <c r="J24" s="38"/>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row>
    <row r="25" customHeight="1" spans="2:78">
      <c r="B25" s="114" t="s">
        <v>145</v>
      </c>
      <c r="C25" s="73" t="s">
        <v>18</v>
      </c>
      <c r="D25" s="115" t="s">
        <v>147</v>
      </c>
      <c r="E25" s="42"/>
      <c r="F25" s="19" t="s">
        <v>172</v>
      </c>
      <c r="G25" s="38"/>
      <c r="H25" s="42"/>
      <c r="I25" s="38"/>
      <c r="J25" s="38"/>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c r="BR25" s="42"/>
      <c r="BS25" s="42"/>
      <c r="BT25" s="42"/>
      <c r="BU25" s="42"/>
      <c r="BV25" s="42"/>
      <c r="BW25" s="42"/>
      <c r="BX25" s="42"/>
      <c r="BY25" s="42"/>
      <c r="BZ25" s="42"/>
    </row>
    <row r="26" customHeight="1" spans="2:78">
      <c r="B26" s="116"/>
      <c r="C26" s="71" t="s">
        <v>19</v>
      </c>
      <c r="D26" s="117" t="s">
        <v>158</v>
      </c>
      <c r="E26" s="42"/>
      <c r="F26" s="19" t="s">
        <v>173</v>
      </c>
      <c r="G26" s="38"/>
      <c r="H26" s="42"/>
      <c r="I26" s="38"/>
      <c r="J26" s="38"/>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c r="BR26" s="42"/>
      <c r="BS26" s="42"/>
      <c r="BT26" s="42"/>
      <c r="BU26" s="42"/>
      <c r="BV26" s="42"/>
      <c r="BW26" s="42"/>
      <c r="BX26" s="42"/>
      <c r="BY26" s="42"/>
      <c r="BZ26" s="42"/>
    </row>
    <row r="27" customHeight="1" spans="2:78">
      <c r="B27" s="116"/>
      <c r="C27" s="73" t="s">
        <v>20</v>
      </c>
      <c r="D27" s="115" t="s">
        <v>166</v>
      </c>
      <c r="E27" s="42"/>
      <c r="F27" s="19" t="s">
        <v>174</v>
      </c>
      <c r="G27" s="38"/>
      <c r="H27" s="42"/>
      <c r="I27" s="38"/>
      <c r="J27" s="38"/>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c r="BR27" s="42"/>
      <c r="BS27" s="42"/>
      <c r="BT27" s="42"/>
      <c r="BU27" s="42"/>
      <c r="BV27" s="42"/>
      <c r="BW27" s="42"/>
      <c r="BX27" s="42"/>
      <c r="BY27" s="42"/>
      <c r="BZ27" s="42"/>
    </row>
    <row r="28" customHeight="1" spans="2:78">
      <c r="B28" s="116"/>
      <c r="C28" s="71" t="s">
        <v>21</v>
      </c>
      <c r="D28" s="117" t="s">
        <v>173</v>
      </c>
      <c r="E28" s="42"/>
      <c r="F28" s="19" t="s">
        <v>175</v>
      </c>
      <c r="G28" s="38"/>
      <c r="H28" s="42"/>
      <c r="I28" s="38"/>
      <c r="J28" s="38"/>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row>
    <row r="29" customHeight="1" spans="2:78">
      <c r="B29" s="121"/>
      <c r="C29" s="99" t="s">
        <v>25</v>
      </c>
      <c r="D29" s="122" t="s">
        <v>176</v>
      </c>
      <c r="E29" s="42"/>
      <c r="F29" s="19" t="s">
        <v>157</v>
      </c>
      <c r="G29" s="38"/>
      <c r="H29" s="42"/>
      <c r="I29" s="38"/>
      <c r="J29" s="38"/>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c r="BR29" s="42"/>
      <c r="BS29" s="42"/>
      <c r="BT29" s="42"/>
      <c r="BU29" s="42"/>
      <c r="BV29" s="42"/>
      <c r="BW29" s="42"/>
      <c r="BX29" s="42"/>
      <c r="BY29" s="42"/>
      <c r="BZ29" s="42"/>
    </row>
    <row r="30" customHeight="1" spans="2:78">
      <c r="B30" s="33" t="s">
        <v>16</v>
      </c>
      <c r="C30" s="1" t="s">
        <v>16</v>
      </c>
      <c r="D30" s="1" t="s">
        <v>16</v>
      </c>
      <c r="E30" s="42"/>
      <c r="F30" s="19" t="s">
        <v>177</v>
      </c>
      <c r="G30" s="38"/>
      <c r="H30" s="42"/>
      <c r="I30" s="38"/>
      <c r="J30" s="38"/>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c r="BM30" s="42"/>
      <c r="BN30" s="42"/>
      <c r="BO30" s="42"/>
      <c r="BP30" s="42"/>
      <c r="BQ30" s="42"/>
      <c r="BR30" s="42"/>
      <c r="BS30" s="42"/>
      <c r="BT30" s="42"/>
      <c r="BU30" s="42"/>
      <c r="BV30" s="42"/>
      <c r="BW30" s="42"/>
      <c r="BX30" s="42"/>
      <c r="BY30" s="42"/>
      <c r="BZ30" s="42"/>
    </row>
    <row r="31" customHeight="1" spans="2:78">
      <c r="B31" s="123" t="s">
        <v>178</v>
      </c>
      <c r="C31" s="123"/>
      <c r="D31" s="123"/>
      <c r="E31" s="42"/>
      <c r="F31" s="19" t="s">
        <v>170</v>
      </c>
      <c r="G31" s="38"/>
      <c r="H31" s="42"/>
      <c r="I31" s="38"/>
      <c r="J31" s="38"/>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c r="BN31" s="42"/>
      <c r="BO31" s="42"/>
      <c r="BP31" s="42"/>
      <c r="BQ31" s="42"/>
      <c r="BR31" s="42"/>
      <c r="BS31" s="42"/>
      <c r="BT31" s="42"/>
      <c r="BU31" s="42"/>
      <c r="BV31" s="42"/>
      <c r="BW31" s="42"/>
      <c r="BX31" s="42"/>
      <c r="BY31" s="42"/>
      <c r="BZ31" s="42"/>
    </row>
    <row r="32" customHeight="1" spans="2:78">
      <c r="B32" s="124" t="s">
        <v>9</v>
      </c>
      <c r="C32" s="125" t="s">
        <v>10</v>
      </c>
      <c r="D32" s="126" t="s">
        <v>11</v>
      </c>
      <c r="E32" s="42"/>
      <c r="F32" s="19" t="s">
        <v>176</v>
      </c>
      <c r="G32" s="38"/>
      <c r="H32" s="42"/>
      <c r="I32" s="42"/>
      <c r="J32" s="38"/>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c r="BM32" s="42"/>
      <c r="BN32" s="42"/>
      <c r="BO32" s="42"/>
      <c r="BP32" s="42"/>
      <c r="BQ32" s="42"/>
      <c r="BR32" s="42"/>
      <c r="BS32" s="42"/>
      <c r="BT32" s="42"/>
      <c r="BU32" s="42"/>
      <c r="BV32" s="42"/>
      <c r="BW32" s="42"/>
      <c r="BX32" s="42"/>
      <c r="BY32" s="42"/>
      <c r="BZ32" s="42"/>
    </row>
    <row r="33" customHeight="1" spans="2:78">
      <c r="B33" s="127"/>
      <c r="C33" s="73" t="s">
        <v>18</v>
      </c>
      <c r="D33" s="128"/>
      <c r="E33" s="42"/>
      <c r="F33" s="38"/>
      <c r="G33" s="38"/>
      <c r="H33" s="42"/>
      <c r="I33" s="42"/>
      <c r="J33" s="38"/>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42"/>
      <c r="BL33" s="42"/>
      <c r="BM33" s="42"/>
      <c r="BN33" s="42"/>
      <c r="BO33" s="42"/>
      <c r="BP33" s="42"/>
      <c r="BQ33" s="42"/>
      <c r="BR33" s="42"/>
      <c r="BS33" s="42"/>
      <c r="BT33" s="42"/>
      <c r="BU33" s="42"/>
      <c r="BV33" s="42"/>
      <c r="BW33" s="42"/>
      <c r="BX33" s="42"/>
      <c r="BY33" s="42"/>
      <c r="BZ33" s="42"/>
    </row>
    <row r="34" customHeight="1" spans="2:78">
      <c r="B34" s="127"/>
      <c r="C34" s="73" t="s">
        <v>19</v>
      </c>
      <c r="D34" s="128"/>
      <c r="E34" s="42"/>
      <c r="F34" s="42"/>
      <c r="G34" s="42"/>
      <c r="H34" s="42"/>
      <c r="I34" s="42"/>
      <c r="J34" s="38"/>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42"/>
      <c r="BL34" s="42"/>
      <c r="BM34" s="42"/>
      <c r="BN34" s="42"/>
      <c r="BO34" s="42"/>
      <c r="BP34" s="42"/>
      <c r="BQ34" s="42"/>
      <c r="BR34" s="42"/>
      <c r="BS34" s="42"/>
      <c r="BT34" s="42"/>
      <c r="BU34" s="42"/>
      <c r="BV34" s="42"/>
      <c r="BW34" s="42"/>
      <c r="BX34" s="42"/>
      <c r="BY34" s="42"/>
      <c r="BZ34" s="42"/>
    </row>
    <row r="35" customHeight="1" spans="2:78">
      <c r="B35" s="127"/>
      <c r="C35" s="73" t="s">
        <v>20</v>
      </c>
      <c r="D35" s="128"/>
      <c r="E35" s="42"/>
      <c r="F35" s="38"/>
      <c r="G35" s="38"/>
      <c r="H35" s="38"/>
      <c r="I35" s="38"/>
      <c r="J35" s="38"/>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42"/>
      <c r="BL35" s="42"/>
      <c r="BM35" s="42"/>
      <c r="BN35" s="42"/>
      <c r="BO35" s="42"/>
      <c r="BP35" s="42"/>
      <c r="BQ35" s="42"/>
      <c r="BR35" s="42"/>
      <c r="BS35" s="42"/>
      <c r="BT35" s="42"/>
      <c r="BU35" s="42"/>
      <c r="BV35" s="42"/>
      <c r="BW35" s="42"/>
      <c r="BX35" s="42"/>
      <c r="BY35" s="42"/>
      <c r="BZ35" s="42"/>
    </row>
    <row r="36" customHeight="1" spans="2:78">
      <c r="B36" s="127"/>
      <c r="C36" s="73" t="s">
        <v>21</v>
      </c>
      <c r="D36" s="128"/>
      <c r="E36" s="42"/>
      <c r="F36" s="129"/>
      <c r="G36" s="129"/>
      <c r="H36" s="129"/>
      <c r="I36" s="129"/>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c r="BN36" s="42"/>
      <c r="BO36" s="42"/>
      <c r="BP36" s="42"/>
      <c r="BQ36" s="42"/>
      <c r="BR36" s="42"/>
      <c r="BS36" s="42"/>
      <c r="BT36" s="42"/>
      <c r="BU36" s="42"/>
      <c r="BV36" s="42"/>
      <c r="BW36" s="42"/>
      <c r="BX36" s="42"/>
      <c r="BY36" s="42"/>
      <c r="BZ36" s="42"/>
    </row>
    <row r="37" customHeight="1" spans="2:78">
      <c r="B37" s="130"/>
      <c r="C37" s="99" t="s">
        <v>25</v>
      </c>
      <c r="D37" s="131"/>
      <c r="E37" s="42"/>
      <c r="F37" s="129"/>
      <c r="G37" s="129"/>
      <c r="H37" s="129"/>
      <c r="I37" s="129"/>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row>
    <row r="38" customHeight="1" spans="2:78">
      <c r="B38" s="1" t="s">
        <v>16</v>
      </c>
      <c r="C38" s="1" t="s">
        <v>16</v>
      </c>
      <c r="D38" s="1" t="s">
        <v>16</v>
      </c>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c r="BM38" s="42"/>
      <c r="BN38" s="42"/>
      <c r="BO38" s="42"/>
      <c r="BP38" s="42"/>
      <c r="BQ38" s="42"/>
      <c r="BR38" s="42"/>
      <c r="BS38" s="42"/>
      <c r="BT38" s="42"/>
      <c r="BU38" s="42"/>
      <c r="BV38" s="42"/>
      <c r="BW38" s="42"/>
      <c r="BX38" s="42"/>
      <c r="BY38" s="42"/>
      <c r="BZ38" s="42"/>
    </row>
    <row r="39" customHeight="1" spans="2:78">
      <c r="B39" s="132" t="s">
        <v>179</v>
      </c>
      <c r="C39" s="123"/>
      <c r="D39" s="123"/>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c r="BM39" s="42"/>
      <c r="BN39" s="42"/>
      <c r="BO39" s="42"/>
      <c r="BP39" s="42"/>
      <c r="BQ39" s="42"/>
      <c r="BR39" s="42"/>
      <c r="BS39" s="42"/>
      <c r="BT39" s="42"/>
      <c r="BU39" s="42"/>
      <c r="BV39" s="42"/>
      <c r="BW39" s="42"/>
      <c r="BX39" s="42"/>
      <c r="BY39" s="42"/>
      <c r="BZ39" s="42"/>
    </row>
    <row r="40" customHeight="1" spans="2:78">
      <c r="B40" s="133" t="s">
        <v>180</v>
      </c>
      <c r="C40" s="134"/>
      <c r="D40" s="135"/>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row>
    <row r="41" customHeight="1" spans="2:78">
      <c r="B41" s="136" t="s">
        <v>9</v>
      </c>
      <c r="C41" s="137" t="s">
        <v>10</v>
      </c>
      <c r="D41" s="138" t="s">
        <v>11</v>
      </c>
      <c r="F41" s="42"/>
      <c r="G41" s="42"/>
      <c r="H41" s="42"/>
      <c r="I41" s="42"/>
      <c r="J41" s="42"/>
      <c r="K41" s="42"/>
    </row>
    <row r="42" customHeight="1" spans="2:78">
      <c r="B42" s="139" t="s">
        <v>181</v>
      </c>
      <c r="C42" s="71" t="s">
        <v>18</v>
      </c>
      <c r="D42" s="140" t="s">
        <v>182</v>
      </c>
    </row>
    <row r="43" customHeight="1" spans="2:78">
      <c r="B43" s="141"/>
      <c r="C43" s="142" t="s">
        <v>19</v>
      </c>
      <c r="D43" s="143" t="s">
        <v>183</v>
      </c>
    </row>
    <row r="44" customHeight="1" spans="2:78">
      <c r="B44" s="141"/>
      <c r="C44" s="71" t="s">
        <v>20</v>
      </c>
      <c r="D44" s="140" t="s">
        <v>184</v>
      </c>
    </row>
    <row r="45" customHeight="1" spans="2:78">
      <c r="B45" s="141"/>
      <c r="C45" s="142" t="s">
        <v>21</v>
      </c>
      <c r="D45" s="143" t="s">
        <v>185</v>
      </c>
    </row>
    <row r="46" customHeight="1" spans="2:78">
      <c r="B46" s="144"/>
      <c r="C46" s="71" t="s">
        <v>25</v>
      </c>
      <c r="D46" s="140" t="s">
        <v>186</v>
      </c>
    </row>
    <row r="47" customHeight="1" spans="2:78">
      <c r="B47" s="145" t="s">
        <v>187</v>
      </c>
      <c r="C47" s="142" t="s">
        <v>18</v>
      </c>
      <c r="D47" s="143" t="s">
        <v>188</v>
      </c>
    </row>
    <row r="48" customHeight="1" spans="2:78">
      <c r="B48" s="146"/>
      <c r="C48" s="71" t="s">
        <v>19</v>
      </c>
      <c r="D48" s="140" t="s">
        <v>189</v>
      </c>
    </row>
    <row r="49" customHeight="1" spans="2:4">
      <c r="B49" s="146"/>
      <c r="C49" s="142" t="s">
        <v>20</v>
      </c>
      <c r="D49" s="143" t="s">
        <v>190</v>
      </c>
    </row>
    <row r="50" customHeight="1" spans="2:4">
      <c r="B50" s="146"/>
      <c r="C50" s="71" t="s">
        <v>21</v>
      </c>
      <c r="D50" s="140" t="s">
        <v>191</v>
      </c>
    </row>
    <row r="51" customHeight="1" spans="2:4">
      <c r="B51" s="147"/>
      <c r="C51" s="142" t="s">
        <v>25</v>
      </c>
      <c r="D51" s="143" t="s">
        <v>192</v>
      </c>
    </row>
    <row r="52" customHeight="1" spans="2:4">
      <c r="B52" s="139" t="s">
        <v>193</v>
      </c>
      <c r="C52" s="71" t="s">
        <v>18</v>
      </c>
      <c r="D52" s="140" t="s">
        <v>194</v>
      </c>
    </row>
    <row r="53" customHeight="1" spans="2:4">
      <c r="B53" s="141"/>
      <c r="C53" s="142" t="s">
        <v>19</v>
      </c>
      <c r="D53" s="143" t="s">
        <v>195</v>
      </c>
    </row>
    <row r="54" customHeight="1" spans="2:4">
      <c r="B54" s="141"/>
      <c r="C54" s="71" t="s">
        <v>20</v>
      </c>
      <c r="D54" s="140" t="s">
        <v>196</v>
      </c>
    </row>
    <row r="55" customHeight="1" spans="2:4">
      <c r="B55" s="141"/>
      <c r="C55" s="142" t="s">
        <v>21</v>
      </c>
      <c r="D55" s="143" t="s">
        <v>197</v>
      </c>
    </row>
    <row r="56" customHeight="1" spans="2:4">
      <c r="B56" s="148"/>
      <c r="C56" s="107" t="s">
        <v>25</v>
      </c>
      <c r="D56" s="149" t="s">
        <v>198</v>
      </c>
    </row>
    <row r="58" customHeight="1" spans="2:4">
      <c r="B58" s="150" t="s">
        <v>199</v>
      </c>
      <c r="C58" s="151"/>
      <c r="D58" s="152"/>
    </row>
    <row r="59" customHeight="1" spans="2:4">
      <c r="B59" s="153" t="s">
        <v>9</v>
      </c>
      <c r="C59" s="154" t="s">
        <v>10</v>
      </c>
      <c r="D59" s="155" t="s">
        <v>11</v>
      </c>
    </row>
    <row r="60" customHeight="1" spans="2:4">
      <c r="B60" s="156" t="s">
        <v>200</v>
      </c>
      <c r="C60" s="71" t="s">
        <v>18</v>
      </c>
      <c r="D60" s="157" t="s">
        <v>201</v>
      </c>
    </row>
    <row r="61" customHeight="1" spans="2:4">
      <c r="B61" s="156"/>
      <c r="C61" s="158" t="s">
        <v>19</v>
      </c>
      <c r="D61" s="159" t="s">
        <v>202</v>
      </c>
    </row>
    <row r="62" ht="36" customHeight="1" spans="2:4">
      <c r="B62" s="156"/>
      <c r="C62" s="71" t="s">
        <v>20</v>
      </c>
      <c r="D62" s="160" t="s">
        <v>203</v>
      </c>
    </row>
    <row r="63" ht="36" customHeight="1" spans="2:4">
      <c r="B63" s="156"/>
      <c r="C63" s="158" t="s">
        <v>21</v>
      </c>
      <c r="D63" s="161" t="s">
        <v>204</v>
      </c>
    </row>
    <row r="64" customHeight="1" spans="2:4">
      <c r="B64" s="156"/>
      <c r="C64" s="71" t="s">
        <v>25</v>
      </c>
      <c r="D64" s="157" t="s">
        <v>205</v>
      </c>
    </row>
    <row r="65" customHeight="1" spans="2:4">
      <c r="B65" s="162" t="s">
        <v>206</v>
      </c>
      <c r="C65" s="158" t="s">
        <v>18</v>
      </c>
      <c r="D65" s="159" t="s">
        <v>207</v>
      </c>
    </row>
    <row r="66" customHeight="1" spans="2:4">
      <c r="B66" s="162"/>
      <c r="C66" s="71" t="s">
        <v>19</v>
      </c>
      <c r="D66" s="157" t="s">
        <v>208</v>
      </c>
    </row>
    <row r="67" customHeight="1" spans="2:4">
      <c r="B67" s="162"/>
      <c r="C67" s="158" t="s">
        <v>20</v>
      </c>
      <c r="D67" s="159" t="s">
        <v>209</v>
      </c>
    </row>
    <row r="68" customHeight="1" spans="2:4">
      <c r="B68" s="162"/>
      <c r="C68" s="71" t="s">
        <v>21</v>
      </c>
      <c r="D68" s="157" t="s">
        <v>210</v>
      </c>
    </row>
    <row r="69" ht="36" customHeight="1" spans="2:4">
      <c r="B69" s="163"/>
      <c r="C69" s="164" t="s">
        <v>25</v>
      </c>
      <c r="D69" s="165" t="s">
        <v>211</v>
      </c>
    </row>
  </sheetData>
  <sheetProtection sheet="1" objects="1"/>
  <mergeCells count="16">
    <mergeCell ref="B2:D2"/>
    <mergeCell ref="B31:D31"/>
    <mergeCell ref="B39:D39"/>
    <mergeCell ref="B40:D40"/>
    <mergeCell ref="B58:D58"/>
    <mergeCell ref="B5:B9"/>
    <mergeCell ref="B10:B14"/>
    <mergeCell ref="B15:B19"/>
    <mergeCell ref="B20:B24"/>
    <mergeCell ref="B25:B29"/>
    <mergeCell ref="B33:B37"/>
    <mergeCell ref="B42:B46"/>
    <mergeCell ref="B47:B51"/>
    <mergeCell ref="B52:B56"/>
    <mergeCell ref="B60:B64"/>
    <mergeCell ref="B65:B69"/>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M19"/>
  <sheetViews>
    <sheetView workbookViewId="0">
      <selection activeCell="B2" sqref="B2:E2"/>
    </sheetView>
  </sheetViews>
  <sheetFormatPr defaultColWidth="3.625" defaultRowHeight="18" customHeight="1"/>
  <cols>
    <col min="1" max="1" width="3.625" style="1" customWidth="1"/>
    <col min="2" max="2" width="9.625" style="1" customWidth="1"/>
    <col min="3" max="3" width="90.625" style="1" customWidth="1"/>
    <col min="4" max="4" width="6.625" style="1" customWidth="1"/>
    <col min="5" max="5" width="12.625" style="1" customWidth="1"/>
    <col min="6" max="6" width="6.625" style="1" customWidth="1"/>
    <col min="7" max="16377" width="3.625" style="1" customWidth="1"/>
    <col min="16378" max="16384" width="3.625" style="1"/>
  </cols>
  <sheetData>
    <row r="2" ht="36" customHeight="1" spans="2:13">
      <c r="B2" s="7" t="s">
        <v>212</v>
      </c>
      <c r="C2" s="8"/>
      <c r="D2" s="8"/>
      <c r="E2" s="9"/>
      <c r="F2" s="36"/>
      <c r="H2" s="38"/>
      <c r="I2" s="38"/>
      <c r="J2" s="38"/>
      <c r="K2" s="38"/>
      <c r="L2" s="38"/>
      <c r="M2" s="38"/>
    </row>
    <row r="3" ht="36" customHeight="1" spans="2:13">
      <c r="B3" s="39" t="s">
        <v>213</v>
      </c>
      <c r="C3" s="69" t="s">
        <v>214</v>
      </c>
      <c r="D3" s="68" t="s">
        <v>215</v>
      </c>
      <c r="E3" s="101" t="s">
        <v>216</v>
      </c>
      <c r="F3" s="41"/>
      <c r="H3" s="38"/>
      <c r="I3" s="38"/>
      <c r="J3" s="38"/>
      <c r="K3" s="38"/>
      <c r="L3" s="38"/>
      <c r="M3" s="38"/>
    </row>
    <row r="4" customHeight="1" spans="2:13">
      <c r="B4" s="45" t="s">
        <v>217</v>
      </c>
      <c r="C4" s="102" t="s">
        <v>218</v>
      </c>
      <c r="D4" s="71" t="s">
        <v>219</v>
      </c>
      <c r="E4" s="103" t="s">
        <v>220</v>
      </c>
      <c r="F4" s="47"/>
      <c r="H4" s="38">
        <f>IF(OR(B4=角色卡!$AK$5,B4=角色卡!$AR$5),"",ROW())</f>
        <v>4</v>
      </c>
      <c r="I4" s="38">
        <f>IF(OR(B4=角色卡!$AK$5,B4=角色卡!$AR$5),"",ROW())</f>
        <v>4</v>
      </c>
      <c r="J4" s="38" t="str" cm="1">
        <f t="array" ref="J4">IFERROR(INDEX(通用效果!$B:$B,SMALL(通用效果!$H:$H,ROWS(通用效果!$A$4:$A4))),"")</f>
        <v>恢复</v>
      </c>
      <c r="K4" s="38" t="str" cm="1">
        <f t="array" ref="K4">IFERROR(INDEX(通用效果!$B:$B,SMALL(通用效果!$I:$I,ROWS(通用效果!$A$4:$A4))),"")</f>
        <v>恢复</v>
      </c>
      <c r="L4" s="38"/>
      <c r="M4" s="38"/>
    </row>
    <row r="5" customHeight="1" spans="2:13">
      <c r="B5" s="51" t="s">
        <v>221</v>
      </c>
      <c r="C5" s="104" t="s">
        <v>222</v>
      </c>
      <c r="D5" s="73" t="s">
        <v>223</v>
      </c>
      <c r="E5" s="105" t="s">
        <v>220</v>
      </c>
      <c r="F5" s="47"/>
      <c r="H5" s="38">
        <f>IF(OR(B5=角色卡!$AK$5,B5=角色卡!$AR$5),"",ROW())</f>
        <v>5</v>
      </c>
      <c r="I5" s="38">
        <f>IF(OR(B5=角色卡!$AK$5,B5=角色卡!$AR$5),"",ROW())</f>
        <v>5</v>
      </c>
      <c r="J5" s="38" t="str" cm="1">
        <f t="array" ref="J5">IFERROR(INDEX(通用效果!$B:$B,SMALL(通用效果!$H:$H,ROWS(通用效果!$A$4:$A5))),"")</f>
        <v>伤害</v>
      </c>
      <c r="K5" s="38" t="str" cm="1">
        <f t="array" ref="K5">IFERROR(INDEX(通用效果!$B:$B,SMALL(通用效果!$I:$I,ROWS(通用效果!$A$4:$A5))),"")</f>
        <v>伤害</v>
      </c>
      <c r="L5" s="38"/>
      <c r="M5" s="38"/>
    </row>
    <row r="6" customHeight="1" spans="2:13">
      <c r="B6" s="45" t="s">
        <v>224</v>
      </c>
      <c r="C6" s="102" t="s">
        <v>225</v>
      </c>
      <c r="D6" s="71" t="s">
        <v>219</v>
      </c>
      <c r="E6" s="103" t="s">
        <v>220</v>
      </c>
      <c r="F6" s="47"/>
      <c r="H6" s="38">
        <f>IF(OR(B6=角色卡!$AK$5,B6=角色卡!$AR$5),"",ROW())</f>
        <v>6</v>
      </c>
      <c r="I6" s="38">
        <f>IF(OR(B6=角色卡!$AK$5,B6=角色卡!$AR$5),"",ROW())</f>
        <v>6</v>
      </c>
      <c r="J6" s="38" t="str" cm="1">
        <f t="array" ref="J6">IFERROR(INDEX(通用效果!$B:$B,SMALL(通用效果!$H:$H,ROWS(通用效果!$A$4:$A6))),"")</f>
        <v>增加灵力</v>
      </c>
      <c r="K6" s="38" t="str" cm="1">
        <f t="array" ref="K6">IFERROR(INDEX(通用效果!$B:$B,SMALL(通用效果!$I:$I,ROWS(通用效果!$A$4:$A6))),"")</f>
        <v>增加灵力</v>
      </c>
      <c r="L6" s="38"/>
      <c r="M6" s="38"/>
    </row>
    <row r="7" customHeight="1" spans="2:13">
      <c r="B7" s="51" t="s">
        <v>226</v>
      </c>
      <c r="C7" s="104" t="s">
        <v>227</v>
      </c>
      <c r="D7" s="73" t="s">
        <v>223</v>
      </c>
      <c r="E7" s="105" t="s">
        <v>220</v>
      </c>
      <c r="F7" s="47"/>
      <c r="H7" s="38">
        <f>IF(OR(B7=角色卡!$AK$5,B7=角色卡!$AR$5),"",ROW())</f>
        <v>7</v>
      </c>
      <c r="I7" s="38">
        <f>IF(OR(B7=角色卡!$AK$5,B7=角色卡!$AR$5),"",ROW())</f>
        <v>7</v>
      </c>
      <c r="J7" s="38" t="str" cm="1">
        <f t="array" ref="J7">IFERROR(INDEX(通用效果!$B:$B,SMALL(通用效果!$H:$H,ROWS(通用效果!$A$4:$A7))),"")</f>
        <v>减少灵力</v>
      </c>
      <c r="K7" s="38" t="str" cm="1">
        <f t="array" ref="K7">IFERROR(INDEX(通用效果!$B:$B,SMALL(通用效果!$I:$I,ROWS(通用效果!$A$4:$A7))),"")</f>
        <v>减少灵力</v>
      </c>
      <c r="L7" s="38"/>
      <c r="M7" s="38"/>
    </row>
    <row r="8" customHeight="1" spans="2:13">
      <c r="B8" s="45" t="s">
        <v>228</v>
      </c>
      <c r="C8" s="102" t="s">
        <v>229</v>
      </c>
      <c r="D8" s="71" t="s">
        <v>219</v>
      </c>
      <c r="E8" s="103" t="s">
        <v>230</v>
      </c>
      <c r="F8" s="47"/>
      <c r="H8" s="38">
        <f>IF(OR(B8=角色卡!$AK$5,B8=角色卡!$AR$5),"",ROW())</f>
        <v>8</v>
      </c>
      <c r="I8" s="38">
        <f>IF(OR(B8=角色卡!$AK$5,B8=角色卡!$AR$5),"",ROW())</f>
        <v>8</v>
      </c>
      <c r="J8" s="38" t="str" cm="1">
        <f t="array" ref="J8">IFERROR(INDEX(通用效果!$B:$B,SMALL(通用效果!$H:$H,ROWS(通用效果!$A$4:$A8))),"")</f>
        <v>强化攻击</v>
      </c>
      <c r="K8" s="38" t="str" cm="1">
        <f t="array" ref="K8">IFERROR(INDEX(通用效果!$B:$B,SMALL(通用效果!$I:$I,ROWS(通用效果!$A$4:$A8))),"")</f>
        <v>强化攻击</v>
      </c>
      <c r="L8" s="38"/>
      <c r="M8" s="38"/>
    </row>
    <row r="9" customHeight="1" spans="2:13">
      <c r="B9" s="51" t="s">
        <v>231</v>
      </c>
      <c r="C9" s="104" t="s">
        <v>232</v>
      </c>
      <c r="D9" s="73" t="s">
        <v>223</v>
      </c>
      <c r="E9" s="105" t="s">
        <v>230</v>
      </c>
      <c r="F9" s="47"/>
      <c r="H9" s="38">
        <f>IF(OR(B9=角色卡!$AK$5,B9=角色卡!$AR$5),"",ROW())</f>
        <v>9</v>
      </c>
      <c r="I9" s="38">
        <f>IF(OR(B9=角色卡!$AK$5,B9=角色卡!$AR$5),"",ROW())</f>
        <v>9</v>
      </c>
      <c r="J9" s="38" t="str" cm="1">
        <f t="array" ref="J9">IFERROR(INDEX(通用效果!$B:$B,SMALL(通用效果!$H:$H,ROWS(通用效果!$A$4:$A9))),"")</f>
        <v>削弱攻击</v>
      </c>
      <c r="K9" s="38" t="str" cm="1">
        <f t="array" ref="K9">IFERROR(INDEX(通用效果!$B:$B,SMALL(通用效果!$I:$I,ROWS(通用效果!$A$4:$A9))),"")</f>
        <v>削弱攻击</v>
      </c>
      <c r="L9" s="38"/>
      <c r="M9" s="38"/>
    </row>
    <row r="10" customHeight="1" spans="2:13">
      <c r="B10" s="45" t="s">
        <v>233</v>
      </c>
      <c r="C10" s="102" t="s">
        <v>234</v>
      </c>
      <c r="D10" s="71" t="s">
        <v>219</v>
      </c>
      <c r="E10" s="103" t="s">
        <v>230</v>
      </c>
      <c r="F10" s="47"/>
      <c r="H10" s="38">
        <f>IF(OR(B10=角色卡!$AK$5,B10=角色卡!$AR$5),"",ROW())</f>
        <v>10</v>
      </c>
      <c r="I10" s="38">
        <f>IF(OR(B10=角色卡!$AK$5,B10=角色卡!$AR$5),"",ROW())</f>
        <v>10</v>
      </c>
      <c r="J10" s="38" t="str" cm="1">
        <f t="array" ref="J10">IFERROR(INDEX(通用效果!$B:$B,SMALL(通用效果!$H:$H,ROWS(通用效果!$A$4:$A10))),"")</f>
        <v>强化防御</v>
      </c>
      <c r="K10" s="38" t="str" cm="1">
        <f t="array" ref="K10">IFERROR(INDEX(通用效果!$B:$B,SMALL(通用效果!$I:$I,ROWS(通用效果!$A$4:$A10))),"")</f>
        <v>强化防御</v>
      </c>
      <c r="L10" s="38"/>
      <c r="M10" s="38"/>
    </row>
    <row r="11" customHeight="1" spans="2:13">
      <c r="B11" s="51" t="s">
        <v>235</v>
      </c>
      <c r="C11" s="104" t="s">
        <v>236</v>
      </c>
      <c r="D11" s="73" t="s">
        <v>223</v>
      </c>
      <c r="E11" s="105" t="s">
        <v>230</v>
      </c>
      <c r="F11" s="47"/>
      <c r="H11" s="38">
        <f>IF(OR(B11=角色卡!$AK$5,B11=角色卡!$AR$5),"",ROW())</f>
        <v>11</v>
      </c>
      <c r="I11" s="38">
        <f>IF(OR(B11=角色卡!$AK$5,B11=角色卡!$AR$5),"",ROW())</f>
        <v>11</v>
      </c>
      <c r="J11" s="38" t="str" cm="1">
        <f t="array" ref="J11">IFERROR(INDEX(通用效果!$B:$B,SMALL(通用效果!$H:$H,ROWS(通用效果!$A$4:$A11))),"")</f>
        <v>削弱防御</v>
      </c>
      <c r="K11" s="38" t="str" cm="1">
        <f t="array" ref="K11">IFERROR(INDEX(通用效果!$B:$B,SMALL(通用效果!$I:$I,ROWS(通用效果!$A$4:$A11))),"")</f>
        <v>削弱防御</v>
      </c>
      <c r="L11" s="38"/>
      <c r="M11" s="38"/>
    </row>
    <row r="12" customHeight="1" spans="2:13">
      <c r="B12" s="45" t="s">
        <v>237</v>
      </c>
      <c r="C12" s="102" t="s">
        <v>238</v>
      </c>
      <c r="D12" s="71" t="s">
        <v>219</v>
      </c>
      <c r="E12" s="103" t="s">
        <v>220</v>
      </c>
      <c r="F12" s="47"/>
      <c r="H12" s="38">
        <f>IF(OR(B12=角色卡!$AK$5,B12=角色卡!$AR$5),"",ROW())</f>
        <v>12</v>
      </c>
      <c r="I12" s="38">
        <f>IF(OR(B12=角色卡!$AK$5,B12=角色卡!$AR$5),"",ROW())</f>
        <v>12</v>
      </c>
      <c r="J12" s="38" t="str" cm="1">
        <f t="array" ref="J12">IFERROR(INDEX(通用效果!$B:$B,SMALL(通用效果!$H:$H,ROWS(通用效果!$A$4:$A12))),"")</f>
        <v>清除效果</v>
      </c>
      <c r="K12" s="38" t="str" cm="1">
        <f t="array" ref="K12">IFERROR(INDEX(通用效果!$B:$B,SMALL(通用效果!$I:$I,ROWS(通用效果!$A$4:$A12))),"")</f>
        <v>清除效果</v>
      </c>
      <c r="L12" s="38"/>
      <c r="M12" s="38"/>
    </row>
    <row r="13" customHeight="1" spans="2:13">
      <c r="B13" s="51" t="s">
        <v>239</v>
      </c>
      <c r="C13" s="104" t="s">
        <v>240</v>
      </c>
      <c r="D13" s="73" t="s">
        <v>219</v>
      </c>
      <c r="E13" s="105" t="s">
        <v>220</v>
      </c>
      <c r="F13" s="47"/>
      <c r="H13" s="38">
        <f>IF(OR(B13=角色卡!$AK$5,B13=角色卡!$AR$5),"",ROW())</f>
        <v>13</v>
      </c>
      <c r="I13" s="38">
        <f>IF(OR(B13=角色卡!$AK$5,B13=角色卡!$AR$5),"",ROW())</f>
        <v>13</v>
      </c>
      <c r="J13" s="38" t="str" cm="1">
        <f t="array" ref="J13">IFERROR(INDEX(通用效果!$B:$B,SMALL(通用效果!$H:$H,ROWS(通用效果!$A$4:$A13))),"")</f>
        <v>时髦</v>
      </c>
      <c r="K13" s="38" t="str" cm="1">
        <f t="array" ref="K13">IFERROR(INDEX(通用效果!$B:$B,SMALL(通用效果!$I:$I,ROWS(通用效果!$A$4:$A13))),"")</f>
        <v>时髦</v>
      </c>
      <c r="L13" s="38"/>
      <c r="M13" s="38"/>
    </row>
    <row r="14" customHeight="1" spans="2:13">
      <c r="B14" s="45" t="s">
        <v>241</v>
      </c>
      <c r="C14" s="102" t="s">
        <v>242</v>
      </c>
      <c r="D14" s="71" t="s">
        <v>219</v>
      </c>
      <c r="E14" s="103" t="s">
        <v>220</v>
      </c>
      <c r="F14" s="47"/>
      <c r="H14" s="38">
        <f>IF(OR(B14=角色卡!$AK$5,B14=角色卡!$AR$5),"",ROW())</f>
        <v>14</v>
      </c>
      <c r="I14" s="38">
        <f>IF(OR(B14=角色卡!$AK$5,B14=角色卡!$AR$5),"",ROW())</f>
        <v>14</v>
      </c>
      <c r="J14" s="38" t="str" cm="1">
        <f t="array" ref="J14">IFERROR(INDEX(通用效果!$B:$B,SMALL(通用效果!$H:$H,ROWS(通用效果!$A$4:$A14))),"")</f>
        <v>叙事</v>
      </c>
      <c r="K14" s="38" t="str" cm="1">
        <f t="array" ref="K14">IFERROR(INDEX(通用效果!$B:$B,SMALL(通用效果!$I:$I,ROWS(通用效果!$A$4:$A14))),"")</f>
        <v>叙事</v>
      </c>
      <c r="L14" s="38"/>
      <c r="M14" s="38"/>
    </row>
    <row r="15" customHeight="1" spans="2:13">
      <c r="B15" s="51" t="s">
        <v>243</v>
      </c>
      <c r="C15" s="104" t="s">
        <v>244</v>
      </c>
      <c r="D15" s="73" t="s">
        <v>219</v>
      </c>
      <c r="E15" s="105" t="s">
        <v>230</v>
      </c>
      <c r="F15" s="47"/>
      <c r="H15" s="38">
        <f>IF(OR(B15=角色卡!$AK$5,B15=角色卡!$AR$5),"",ROW())</f>
        <v>15</v>
      </c>
      <c r="I15" s="38">
        <f>IF(OR(B15=角色卡!$AK$5,B15=角色卡!$AR$5),"",ROW())</f>
        <v>15</v>
      </c>
      <c r="J15" s="38" t="str" cm="1">
        <f t="array" ref="J15">IFERROR(INDEX(通用效果!$B:$B,SMALL(通用效果!$H:$H,ROWS(通用效果!$A$4:$A15))),"")</f>
        <v>获得抗性</v>
      </c>
      <c r="K15" s="38" t="str" cm="1">
        <f t="array" ref="K15">IFERROR(INDEX(通用效果!$B:$B,SMALL(通用效果!$I:$I,ROWS(通用效果!$A$4:$A15))),"")</f>
        <v>获得抗性</v>
      </c>
      <c r="L15" s="38"/>
      <c r="M15" s="38"/>
    </row>
    <row r="16" customHeight="1" spans="2:13">
      <c r="B16" s="45" t="s">
        <v>245</v>
      </c>
      <c r="C16" s="102" t="s">
        <v>246</v>
      </c>
      <c r="D16" s="71" t="s">
        <v>223</v>
      </c>
      <c r="E16" s="103" t="s">
        <v>230</v>
      </c>
      <c r="F16" s="47"/>
      <c r="H16" s="38">
        <f>IF(OR(B16=角色卡!$AK$5,B16=角色卡!$AR$5),"",ROW())</f>
        <v>16</v>
      </c>
      <c r="I16" s="38">
        <f>IF(OR(B16=角色卡!$AK$5,B16=角色卡!$AR$5),"",ROW())</f>
        <v>16</v>
      </c>
      <c r="J16" s="38" t="str" cm="1">
        <f t="array" ref="J16">IFERROR(INDEX(通用效果!$B:$B,SMALL(通用效果!$H:$H,ROWS(通用效果!$A$4:$A16))),"")</f>
        <v>赋予易伤</v>
      </c>
      <c r="K16" s="38" t="str" cm="1">
        <f t="array" ref="K16">IFERROR(INDEX(通用效果!$B:$B,SMALL(通用效果!$I:$I,ROWS(通用效果!$A$4:$A16))),"")</f>
        <v>赋予易伤</v>
      </c>
      <c r="L16" s="38"/>
      <c r="M16" s="38"/>
    </row>
    <row r="17" ht="36" customHeight="1" spans="2:13">
      <c r="B17" s="51" t="s">
        <v>31</v>
      </c>
      <c r="C17" s="104" t="s">
        <v>247</v>
      </c>
      <c r="D17" s="73" t="s">
        <v>219</v>
      </c>
      <c r="E17" s="105" t="s">
        <v>230</v>
      </c>
      <c r="F17" s="47"/>
      <c r="H17" s="38">
        <f>IF(OR(B17=角色卡!$AK$5,B17=角色卡!$AR$5),"",ROW())</f>
        <v>17</v>
      </c>
      <c r="I17" s="38">
        <f>IF(OR(B17=角色卡!$AK$5,B17=角色卡!$AR$5),"",ROW())</f>
        <v>17</v>
      </c>
      <c r="J17" s="38" t="str" cm="1">
        <f t="array" ref="J17">IFERROR(INDEX(通用效果!$B:$B,SMALL(通用效果!$H:$H,ROWS(通用效果!$A$4:$A17))),"")</f>
        <v>属性附加</v>
      </c>
      <c r="K17" s="38" t="str" cm="1">
        <f t="array" ref="K17">IFERROR(INDEX(通用效果!$B:$B,SMALL(通用效果!$I:$I,ROWS(通用效果!$A$4:$A17))),"")</f>
        <v>属性附加</v>
      </c>
      <c r="L17" s="38"/>
      <c r="M17" s="38"/>
    </row>
    <row r="18" customHeight="1" spans="2:13">
      <c r="B18" s="57" t="s">
        <v>248</v>
      </c>
      <c r="C18" s="106" t="s">
        <v>249</v>
      </c>
      <c r="D18" s="107" t="s">
        <v>219</v>
      </c>
      <c r="E18" s="108" t="s">
        <v>220</v>
      </c>
      <c r="F18" s="47"/>
      <c r="H18" s="38">
        <f>IF(OR(B18=角色卡!$AK$5,B18=角色卡!$AR$5),"",ROW())</f>
        <v>18</v>
      </c>
      <c r="I18" s="38">
        <f>IF(OR(B18=角色卡!$AK$5,B18=角色卡!$AR$5),"",ROW())</f>
        <v>18</v>
      </c>
      <c r="J18" s="38" t="str" cm="1">
        <f t="array" ref="J18">IFERROR(INDEX(通用效果!$B:$B,SMALL(通用效果!$H:$H,ROWS(通用效果!$A$4:$A18))),"")</f>
        <v>造物</v>
      </c>
      <c r="K18" s="38" t="str" cm="1">
        <f t="array" ref="K18">IFERROR(INDEX(通用效果!$B:$B,SMALL(通用效果!$I:$I,ROWS(通用效果!$A$4:$A18))),"")</f>
        <v>造物</v>
      </c>
      <c r="L18" s="38"/>
      <c r="M18" s="38"/>
    </row>
    <row r="19" customHeight="1" spans="2:13">
      <c r="B19" s="1" t="s">
        <v>16</v>
      </c>
      <c r="C19" s="1" t="s">
        <v>16</v>
      </c>
      <c r="D19" s="1" t="s">
        <v>16</v>
      </c>
      <c r="E19" s="1" t="s">
        <v>16</v>
      </c>
      <c r="F19" s="1" t="s">
        <v>16</v>
      </c>
      <c r="H19" s="38">
        <f>IF(OR(B19=角色卡!$AK$5,B19=角色卡!$AR$5),"",ROW())</f>
        <v>19</v>
      </c>
      <c r="I19" s="38">
        <f>IF(OR(B19=角色卡!$AK$5,B19=角色卡!$AR$5),"",ROW())</f>
        <v>19</v>
      </c>
      <c r="J19" s="38" t="str" cm="1">
        <f t="array" ref="J19">IFERROR(INDEX(通用效果!$B:$B,SMALL(通用效果!$H:$H,ROWS(通用效果!$A$4:$A19))),"")</f>
        <v> </v>
      </c>
      <c r="K19" s="38" t="str" cm="1">
        <f t="array" ref="K19">IFERROR(INDEX(通用效果!$B:$B,SMALL(通用效果!$I:$I,ROWS(通用效果!$A$4:$A19))),"")</f>
        <v> </v>
      </c>
      <c r="L19" s="38"/>
      <c r="M19" s="38"/>
    </row>
  </sheetData>
  <sheetProtection sheet="1" objects="1"/>
  <mergeCells count="1">
    <mergeCell ref="B2:E2"/>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B60"/>
  <sheetViews>
    <sheetView workbookViewId="0">
      <selection activeCell="B2" sqref="B2:H2"/>
    </sheetView>
  </sheetViews>
  <sheetFormatPr defaultColWidth="3.625" defaultRowHeight="18" customHeight="1"/>
  <cols>
    <col min="1" max="1" width="3.625" style="1" customWidth="1"/>
    <col min="2" max="2" width="15.625" style="1" customWidth="1"/>
    <col min="3" max="3" width="12.625" style="1" customWidth="1"/>
    <col min="4" max="4" width="9.625" style="1" customWidth="1"/>
    <col min="5" max="6" width="6.625" style="1" customWidth="1"/>
    <col min="7" max="7" width="105.625" style="1" customWidth="1"/>
    <col min="8" max="8" width="63.625" style="1" customWidth="1"/>
    <col min="9" max="16327" width="3.625" style="1" customWidth="1"/>
    <col min="16328" max="16384" width="3.625" style="1"/>
  </cols>
  <sheetData>
    <row r="2" ht="36" customHeight="1" spans="2:28">
      <c r="B2" s="34" t="s">
        <v>76</v>
      </c>
      <c r="C2" s="67"/>
      <c r="D2" s="67"/>
      <c r="E2" s="67"/>
      <c r="F2" s="67"/>
      <c r="G2" s="67"/>
      <c r="H2" s="35"/>
      <c r="I2" s="36"/>
      <c r="J2" s="36"/>
      <c r="K2" s="36"/>
      <c r="L2" s="36"/>
      <c r="M2" s="36"/>
      <c r="N2" s="36"/>
      <c r="O2" s="36"/>
      <c r="P2" s="36"/>
      <c r="Q2" s="36"/>
      <c r="R2" s="36"/>
      <c r="S2" s="36"/>
      <c r="T2" s="36"/>
      <c r="U2" s="36"/>
      <c r="V2" s="36"/>
      <c r="W2" s="36"/>
      <c r="X2" s="36"/>
      <c r="Y2" s="36"/>
      <c r="Z2" s="36"/>
      <c r="AA2" s="36"/>
      <c r="AB2" s="36"/>
    </row>
    <row r="3" ht="36" customHeight="1" spans="2:28">
      <c r="B3" s="39" t="s">
        <v>45</v>
      </c>
      <c r="C3" s="68" t="s">
        <v>10</v>
      </c>
      <c r="D3" s="68" t="s">
        <v>78</v>
      </c>
      <c r="E3" s="68" t="s">
        <v>79</v>
      </c>
      <c r="F3" s="68" t="s">
        <v>80</v>
      </c>
      <c r="G3" s="69" t="s">
        <v>69</v>
      </c>
      <c r="H3" s="70" t="s">
        <v>81</v>
      </c>
      <c r="I3" s="53"/>
      <c r="J3" s="53"/>
      <c r="K3" s="53"/>
      <c r="L3" s="53"/>
      <c r="M3" s="53"/>
      <c r="N3" s="53"/>
      <c r="O3" s="53"/>
      <c r="P3" s="53"/>
      <c r="Q3" s="53"/>
      <c r="R3" s="53"/>
      <c r="S3" s="53"/>
      <c r="T3" s="53"/>
      <c r="U3" s="53"/>
      <c r="V3" s="53"/>
      <c r="W3" s="53"/>
      <c r="X3" s="53"/>
      <c r="Y3" s="53"/>
      <c r="Z3" s="53"/>
      <c r="AA3" s="53"/>
      <c r="AB3" s="53"/>
    </row>
    <row r="4" ht="36" customHeight="1" spans="2:28">
      <c r="B4" s="45" t="s">
        <v>250</v>
      </c>
      <c r="C4" s="71" t="s">
        <v>251</v>
      </c>
      <c r="D4" s="71" t="s">
        <v>252</v>
      </c>
      <c r="E4" s="98" t="s">
        <v>5</v>
      </c>
      <c r="F4" s="98" t="s">
        <v>12</v>
      </c>
      <c r="G4" s="17" t="s">
        <v>253</v>
      </c>
      <c r="H4" s="72" t="s">
        <v>254</v>
      </c>
      <c r="J4" s="19" t="str">
        <f>VLOOKUP(角色卡!B39,武技!$B$4:$H$60,6,0)</f>
        <v> </v>
      </c>
    </row>
    <row r="5" ht="36" customHeight="1" spans="2:28">
      <c r="B5" s="51" t="s">
        <v>255</v>
      </c>
      <c r="C5" s="73" t="s">
        <v>256</v>
      </c>
      <c r="D5" s="73" t="s">
        <v>252</v>
      </c>
      <c r="E5" s="73" t="s">
        <v>12</v>
      </c>
      <c r="F5" s="73" t="s">
        <v>12</v>
      </c>
      <c r="G5" s="25" t="s">
        <v>257</v>
      </c>
      <c r="H5" s="74" t="s">
        <v>258</v>
      </c>
      <c r="J5" s="19" t="str">
        <f>VLOOKUP(角色卡!B41,武技!$B$4:$H$60,6,0)</f>
        <v> </v>
      </c>
    </row>
    <row r="6" ht="36" customHeight="1" spans="2:28">
      <c r="B6" s="45" t="s">
        <v>259</v>
      </c>
      <c r="C6" s="71" t="s">
        <v>256</v>
      </c>
      <c r="D6" s="71" t="s">
        <v>252</v>
      </c>
      <c r="E6" s="71" t="s">
        <v>12</v>
      </c>
      <c r="F6" s="71" t="s">
        <v>12</v>
      </c>
      <c r="G6" s="17" t="s">
        <v>260</v>
      </c>
      <c r="H6" s="72" t="s">
        <v>261</v>
      </c>
      <c r="J6" s="19" t="str">
        <f>VLOOKUP(角色卡!B43,武技!$B$4:$H$60,6,0)</f>
        <v> </v>
      </c>
    </row>
    <row r="7" ht="36" customHeight="1" spans="2:28">
      <c r="B7" s="51" t="s">
        <v>262</v>
      </c>
      <c r="C7" s="73" t="s">
        <v>263</v>
      </c>
      <c r="D7" s="73" t="s">
        <v>252</v>
      </c>
      <c r="E7" s="73" t="s">
        <v>12</v>
      </c>
      <c r="F7" s="73" t="s">
        <v>12</v>
      </c>
      <c r="G7" s="25" t="s">
        <v>264</v>
      </c>
      <c r="H7" s="74" t="s">
        <v>265</v>
      </c>
      <c r="J7" s="19" t="str">
        <f>VLOOKUP(角色卡!B45,武技!$B$4:$H$60,6,0)</f>
        <v> </v>
      </c>
    </row>
    <row r="8" ht="36" customHeight="1" spans="2:28">
      <c r="B8" s="45" t="s">
        <v>266</v>
      </c>
      <c r="C8" s="71" t="s">
        <v>263</v>
      </c>
      <c r="D8" s="71" t="s">
        <v>252</v>
      </c>
      <c r="E8" s="71" t="s">
        <v>5</v>
      </c>
      <c r="F8" s="71" t="s">
        <v>12</v>
      </c>
      <c r="G8" s="17" t="s">
        <v>267</v>
      </c>
      <c r="H8" s="72" t="s">
        <v>268</v>
      </c>
      <c r="J8" s="19" t="str">
        <f>VLOOKUP(角色卡!B47,武技!$B$4:$H$60,6,0)</f>
        <v> </v>
      </c>
    </row>
    <row r="9" ht="36" customHeight="1" spans="2:28">
      <c r="B9" s="51" t="s">
        <v>269</v>
      </c>
      <c r="C9" s="73" t="s">
        <v>263</v>
      </c>
      <c r="D9" s="73" t="s">
        <v>252</v>
      </c>
      <c r="E9" s="73" t="s">
        <v>5</v>
      </c>
      <c r="F9" s="73" t="s">
        <v>12</v>
      </c>
      <c r="G9" s="25" t="s">
        <v>270</v>
      </c>
      <c r="H9" s="74" t="s">
        <v>271</v>
      </c>
      <c r="J9" s="19" t="str">
        <f>VLOOKUP(角色卡!B49,武技!$B$4:$H$60,6,0)</f>
        <v> </v>
      </c>
    </row>
    <row r="10" ht="36" customHeight="1" spans="2:28">
      <c r="B10" s="45" t="s">
        <v>272</v>
      </c>
      <c r="C10" s="71" t="s">
        <v>256</v>
      </c>
      <c r="D10" s="71" t="s">
        <v>252</v>
      </c>
      <c r="E10" s="71" t="s">
        <v>5</v>
      </c>
      <c r="F10" s="71" t="s">
        <v>12</v>
      </c>
      <c r="G10" s="17" t="s">
        <v>273</v>
      </c>
      <c r="H10" s="72" t="s">
        <v>274</v>
      </c>
      <c r="J10" s="19" t="str">
        <f>VLOOKUP(角色卡!B51,武技!$B$4:$H$60,6,0)</f>
        <v> </v>
      </c>
    </row>
    <row r="11" ht="54" customHeight="1" spans="2:28">
      <c r="B11" s="51" t="s">
        <v>275</v>
      </c>
      <c r="C11" s="73" t="s">
        <v>256</v>
      </c>
      <c r="D11" s="73" t="s">
        <v>252</v>
      </c>
      <c r="E11" s="73" t="s">
        <v>5</v>
      </c>
      <c r="F11" s="73" t="s">
        <v>12</v>
      </c>
      <c r="G11" s="25" t="s">
        <v>276</v>
      </c>
      <c r="H11" s="74" t="s">
        <v>277</v>
      </c>
      <c r="J11" s="19" t="str">
        <f>VLOOKUP(角色卡!B53,武技!$B$4:$H$60,6,0)</f>
        <v> </v>
      </c>
    </row>
    <row r="12" ht="36" customHeight="1" spans="2:28">
      <c r="B12" s="45" t="s">
        <v>278</v>
      </c>
      <c r="C12" s="71" t="s">
        <v>256</v>
      </c>
      <c r="D12" s="71" t="s">
        <v>252</v>
      </c>
      <c r="E12" s="71" t="s">
        <v>12</v>
      </c>
      <c r="F12" s="71" t="s">
        <v>12</v>
      </c>
      <c r="G12" s="17" t="s">
        <v>279</v>
      </c>
      <c r="H12" s="72" t="s">
        <v>280</v>
      </c>
      <c r="J12" s="19" t="str">
        <f>VLOOKUP(角色卡!B55,武技!$B$4:$H$60,6,0)</f>
        <v> </v>
      </c>
    </row>
    <row r="13" ht="36" customHeight="1" spans="2:28">
      <c r="B13" s="51" t="s">
        <v>281</v>
      </c>
      <c r="C13" s="73" t="s">
        <v>256</v>
      </c>
      <c r="D13" s="73" t="s">
        <v>252</v>
      </c>
      <c r="E13" s="73" t="s">
        <v>5</v>
      </c>
      <c r="F13" s="73" t="s">
        <v>12</v>
      </c>
      <c r="G13" s="25" t="s">
        <v>282</v>
      </c>
      <c r="H13" s="74" t="s">
        <v>283</v>
      </c>
      <c r="J13" s="19" t="str">
        <f>VLOOKUP(角色卡!B57,武技!$B$4:$H$60,6,0)</f>
        <v> </v>
      </c>
    </row>
    <row r="14" ht="36" customHeight="1" spans="2:28">
      <c r="B14" s="45" t="s">
        <v>284</v>
      </c>
      <c r="C14" s="71" t="s">
        <v>256</v>
      </c>
      <c r="D14" s="71" t="s">
        <v>252</v>
      </c>
      <c r="E14" s="71" t="s">
        <v>12</v>
      </c>
      <c r="F14" s="71" t="s">
        <v>12</v>
      </c>
      <c r="G14" s="17" t="s">
        <v>285</v>
      </c>
      <c r="H14" s="72" t="s">
        <v>286</v>
      </c>
      <c r="J14" s="19" t="str">
        <f>VLOOKUP(角色卡!B59,武技!$B$4:$H$60,6,0)</f>
        <v> </v>
      </c>
    </row>
    <row r="15" ht="36" customHeight="1" spans="2:28">
      <c r="B15" s="51" t="s">
        <v>287</v>
      </c>
      <c r="C15" s="73" t="s">
        <v>256</v>
      </c>
      <c r="D15" s="73" t="s">
        <v>252</v>
      </c>
      <c r="E15" s="73" t="s">
        <v>5</v>
      </c>
      <c r="F15" s="73" t="s">
        <v>12</v>
      </c>
      <c r="G15" s="25" t="s">
        <v>288</v>
      </c>
      <c r="H15" s="74" t="s">
        <v>289</v>
      </c>
      <c r="J15" s="19" t="str">
        <f>VLOOKUP(角色卡!B61,武技!$B$4:$H$60,6,0)</f>
        <v> </v>
      </c>
    </row>
    <row r="16" ht="36" customHeight="1" spans="2:28">
      <c r="B16" s="45" t="s">
        <v>290</v>
      </c>
      <c r="C16" s="71" t="s">
        <v>256</v>
      </c>
      <c r="D16" s="71" t="s">
        <v>252</v>
      </c>
      <c r="E16" s="71" t="s">
        <v>12</v>
      </c>
      <c r="F16" s="71" t="s">
        <v>12</v>
      </c>
      <c r="G16" s="17" t="s">
        <v>291</v>
      </c>
      <c r="H16" s="72" t="s">
        <v>292</v>
      </c>
      <c r="J16" s="19" t="str">
        <f>VLOOKUP(角色卡!B63,武技!$B$4:$H$60,6,0)</f>
        <v> </v>
      </c>
    </row>
    <row r="17" ht="36" customHeight="1" spans="2:10">
      <c r="B17" s="51" t="s">
        <v>293</v>
      </c>
      <c r="C17" s="73" t="s">
        <v>256</v>
      </c>
      <c r="D17" s="73" t="s">
        <v>252</v>
      </c>
      <c r="E17" s="73" t="s">
        <v>5</v>
      </c>
      <c r="F17" s="73" t="s">
        <v>12</v>
      </c>
      <c r="G17" s="25" t="s">
        <v>294</v>
      </c>
      <c r="H17" s="74" t="s">
        <v>295</v>
      </c>
      <c r="J17" s="19" t="str">
        <f>VLOOKUP(角色卡!B65,武技!$B$4:$H$60,6,0)</f>
        <v> </v>
      </c>
    </row>
    <row r="18" ht="36" customHeight="1" spans="2:10">
      <c r="B18" s="45" t="s">
        <v>296</v>
      </c>
      <c r="C18" s="71" t="s">
        <v>297</v>
      </c>
      <c r="D18" s="71" t="s">
        <v>252</v>
      </c>
      <c r="E18" s="71" t="s">
        <v>5</v>
      </c>
      <c r="F18" s="71" t="s">
        <v>12</v>
      </c>
      <c r="G18" s="17" t="s">
        <v>298</v>
      </c>
      <c r="H18" s="72" t="s">
        <v>299</v>
      </c>
      <c r="J18" s="19" t="str">
        <f>VLOOKUP(角色卡!B67,武技!$B$4:$H$60,6,0)</f>
        <v> </v>
      </c>
    </row>
    <row r="19" ht="36" customHeight="1" spans="2:10">
      <c r="B19" s="51" t="s">
        <v>300</v>
      </c>
      <c r="C19" s="73" t="s">
        <v>256</v>
      </c>
      <c r="D19" s="73" t="s">
        <v>252</v>
      </c>
      <c r="E19" s="73" t="s">
        <v>12</v>
      </c>
      <c r="F19" s="73" t="s">
        <v>12</v>
      </c>
      <c r="G19" s="25" t="s">
        <v>301</v>
      </c>
      <c r="H19" s="74" t="s">
        <v>302</v>
      </c>
      <c r="J19" s="19" t="str">
        <f>VLOOKUP(角色卡!B69,武技!$B$4:$H$60,6,0)</f>
        <v> </v>
      </c>
    </row>
    <row r="20" ht="36" customHeight="1" spans="2:10">
      <c r="B20" s="45" t="s">
        <v>303</v>
      </c>
      <c r="C20" s="71" t="s">
        <v>297</v>
      </c>
      <c r="D20" s="71" t="s">
        <v>252</v>
      </c>
      <c r="E20" s="71" t="s">
        <v>5</v>
      </c>
      <c r="F20" s="71" t="s">
        <v>12</v>
      </c>
      <c r="G20" s="17" t="s">
        <v>304</v>
      </c>
      <c r="H20" s="72" t="s">
        <v>305</v>
      </c>
      <c r="J20" s="19" t="str">
        <f>VLOOKUP(角色卡!B71,武技!$B$4:$H$60,6,0)</f>
        <v> </v>
      </c>
    </row>
    <row r="21" ht="36" customHeight="1" spans="2:10">
      <c r="B21" s="51" t="s">
        <v>306</v>
      </c>
      <c r="C21" s="73" t="s">
        <v>256</v>
      </c>
      <c r="D21" s="73" t="s">
        <v>252</v>
      </c>
      <c r="E21" s="73" t="s">
        <v>12</v>
      </c>
      <c r="F21" s="73" t="s">
        <v>12</v>
      </c>
      <c r="G21" s="25" t="s">
        <v>307</v>
      </c>
      <c r="H21" s="74" t="s">
        <v>308</v>
      </c>
      <c r="J21" s="19" t="str">
        <f>VLOOKUP(角色卡!B73,武技!$B$4:$H$60,6,0)</f>
        <v> </v>
      </c>
    </row>
    <row r="22" ht="36" customHeight="1" spans="2:10">
      <c r="B22" s="45" t="s">
        <v>309</v>
      </c>
      <c r="C22" s="71" t="s">
        <v>256</v>
      </c>
      <c r="D22" s="71" t="s">
        <v>252</v>
      </c>
      <c r="E22" s="71" t="s">
        <v>12</v>
      </c>
      <c r="F22" s="71" t="s">
        <v>12</v>
      </c>
      <c r="G22" s="17" t="s">
        <v>310</v>
      </c>
      <c r="H22" s="72" t="s">
        <v>311</v>
      </c>
    </row>
    <row r="23" ht="36" customHeight="1" spans="2:10">
      <c r="B23" s="51" t="s">
        <v>312</v>
      </c>
      <c r="C23" s="73" t="s">
        <v>256</v>
      </c>
      <c r="D23" s="73" t="s">
        <v>252</v>
      </c>
      <c r="E23" s="73" t="s">
        <v>5</v>
      </c>
      <c r="F23" s="73" t="s">
        <v>12</v>
      </c>
      <c r="G23" s="25" t="s">
        <v>313</v>
      </c>
      <c r="H23" s="74" t="s">
        <v>314</v>
      </c>
    </row>
    <row r="24" ht="36" customHeight="1" spans="2:10">
      <c r="B24" s="45" t="s">
        <v>315</v>
      </c>
      <c r="C24" s="71" t="s">
        <v>256</v>
      </c>
      <c r="D24" s="71" t="s">
        <v>252</v>
      </c>
      <c r="E24" s="71" t="s">
        <v>12</v>
      </c>
      <c r="F24" s="71" t="s">
        <v>12</v>
      </c>
      <c r="G24" s="17" t="s">
        <v>316</v>
      </c>
      <c r="H24" s="72" t="s">
        <v>317</v>
      </c>
    </row>
    <row r="25" ht="36" customHeight="1" spans="2:10">
      <c r="B25" s="51" t="s">
        <v>318</v>
      </c>
      <c r="C25" s="73" t="s">
        <v>256</v>
      </c>
      <c r="D25" s="73" t="s">
        <v>252</v>
      </c>
      <c r="E25" s="73" t="s">
        <v>5</v>
      </c>
      <c r="F25" s="73" t="s">
        <v>12</v>
      </c>
      <c r="G25" s="25" t="s">
        <v>319</v>
      </c>
      <c r="H25" s="74" t="s">
        <v>320</v>
      </c>
    </row>
    <row r="26" ht="36" customHeight="1" spans="2:10">
      <c r="B26" s="45" t="s">
        <v>321</v>
      </c>
      <c r="C26" s="71" t="s">
        <v>263</v>
      </c>
      <c r="D26" s="71" t="s">
        <v>322</v>
      </c>
      <c r="E26" s="71" t="s">
        <v>12</v>
      </c>
      <c r="F26" s="71" t="s">
        <v>12</v>
      </c>
      <c r="G26" s="17" t="s">
        <v>323</v>
      </c>
      <c r="H26" s="72" t="s">
        <v>324</v>
      </c>
    </row>
    <row r="27" ht="36" customHeight="1" spans="2:10">
      <c r="B27" s="51" t="s">
        <v>325</v>
      </c>
      <c r="C27" s="73" t="s">
        <v>297</v>
      </c>
      <c r="D27" s="73" t="s">
        <v>252</v>
      </c>
      <c r="E27" s="73" t="s">
        <v>12</v>
      </c>
      <c r="F27" s="73" t="s">
        <v>12</v>
      </c>
      <c r="G27" s="25" t="s">
        <v>326</v>
      </c>
      <c r="H27" s="74" t="s">
        <v>327</v>
      </c>
    </row>
    <row r="28" ht="36" customHeight="1" spans="2:10">
      <c r="B28" s="45" t="s">
        <v>328</v>
      </c>
      <c r="C28" s="71" t="s">
        <v>263</v>
      </c>
      <c r="D28" s="71" t="s">
        <v>252</v>
      </c>
      <c r="E28" s="71" t="s">
        <v>12</v>
      </c>
      <c r="F28" s="71" t="s">
        <v>12</v>
      </c>
      <c r="G28" s="17" t="s">
        <v>329</v>
      </c>
      <c r="H28" s="72" t="s">
        <v>330</v>
      </c>
    </row>
    <row r="29" ht="36" customHeight="1" spans="2:10">
      <c r="B29" s="51" t="s">
        <v>331</v>
      </c>
      <c r="C29" s="73" t="s">
        <v>297</v>
      </c>
      <c r="D29" s="73" t="s">
        <v>252</v>
      </c>
      <c r="E29" s="73" t="s">
        <v>12</v>
      </c>
      <c r="F29" s="73" t="s">
        <v>12</v>
      </c>
      <c r="G29" s="25" t="s">
        <v>332</v>
      </c>
      <c r="H29" s="74" t="s">
        <v>333</v>
      </c>
    </row>
    <row r="30" ht="36" customHeight="1" spans="2:10">
      <c r="B30" s="45" t="s">
        <v>334</v>
      </c>
      <c r="C30" s="71" t="s">
        <v>256</v>
      </c>
      <c r="D30" s="71" t="s">
        <v>252</v>
      </c>
      <c r="E30" s="71" t="s">
        <v>12</v>
      </c>
      <c r="F30" s="71" t="s">
        <v>12</v>
      </c>
      <c r="G30" s="17" t="s">
        <v>335</v>
      </c>
      <c r="H30" s="72" t="s">
        <v>336</v>
      </c>
    </row>
    <row r="31" ht="36" customHeight="1" spans="2:10">
      <c r="B31" s="51" t="s">
        <v>337</v>
      </c>
      <c r="C31" s="73" t="s">
        <v>263</v>
      </c>
      <c r="D31" s="73" t="s">
        <v>322</v>
      </c>
      <c r="E31" s="73" t="s">
        <v>5</v>
      </c>
      <c r="F31" s="73" t="s">
        <v>12</v>
      </c>
      <c r="G31" s="25" t="s">
        <v>253</v>
      </c>
      <c r="H31" s="74" t="s">
        <v>338</v>
      </c>
    </row>
    <row r="32" ht="36" customHeight="1" spans="2:10">
      <c r="B32" s="45" t="s">
        <v>339</v>
      </c>
      <c r="C32" s="71" t="s">
        <v>297</v>
      </c>
      <c r="D32" s="71" t="s">
        <v>252</v>
      </c>
      <c r="E32" s="71" t="s">
        <v>12</v>
      </c>
      <c r="F32" s="71" t="s">
        <v>12</v>
      </c>
      <c r="G32" s="17" t="s">
        <v>340</v>
      </c>
      <c r="H32" s="72" t="s">
        <v>341</v>
      </c>
    </row>
    <row r="33" ht="36" customHeight="1" spans="2:8">
      <c r="B33" s="51" t="s">
        <v>342</v>
      </c>
      <c r="C33" s="73" t="s">
        <v>263</v>
      </c>
      <c r="D33" s="73" t="s">
        <v>252</v>
      </c>
      <c r="E33" s="73" t="s">
        <v>12</v>
      </c>
      <c r="F33" s="73" t="s">
        <v>12</v>
      </c>
      <c r="G33" s="25" t="s">
        <v>343</v>
      </c>
      <c r="H33" s="74" t="s">
        <v>344</v>
      </c>
    </row>
    <row r="34" ht="36" customHeight="1" spans="2:8">
      <c r="B34" s="45" t="s">
        <v>345</v>
      </c>
      <c r="C34" s="71" t="s">
        <v>297</v>
      </c>
      <c r="D34" s="71" t="s">
        <v>252</v>
      </c>
      <c r="E34" s="71" t="s">
        <v>12</v>
      </c>
      <c r="F34" s="71" t="s">
        <v>12</v>
      </c>
      <c r="G34" s="17" t="s">
        <v>346</v>
      </c>
      <c r="H34" s="72" t="s">
        <v>347</v>
      </c>
    </row>
    <row r="35" ht="36" customHeight="1" spans="2:8">
      <c r="B35" s="51" t="s">
        <v>348</v>
      </c>
      <c r="C35" s="73" t="s">
        <v>297</v>
      </c>
      <c r="D35" s="73" t="s">
        <v>252</v>
      </c>
      <c r="E35" s="73" t="s">
        <v>5</v>
      </c>
      <c r="F35" s="73" t="s">
        <v>12</v>
      </c>
      <c r="G35" s="25" t="s">
        <v>349</v>
      </c>
      <c r="H35" s="74" t="s">
        <v>350</v>
      </c>
    </row>
    <row r="36" ht="36" customHeight="1" spans="2:8">
      <c r="B36" s="45" t="s">
        <v>351</v>
      </c>
      <c r="C36" s="71" t="s">
        <v>297</v>
      </c>
      <c r="D36" s="71" t="s">
        <v>252</v>
      </c>
      <c r="E36" s="71" t="s">
        <v>5</v>
      </c>
      <c r="F36" s="71" t="s">
        <v>12</v>
      </c>
      <c r="G36" s="17" t="s">
        <v>352</v>
      </c>
      <c r="H36" s="72" t="s">
        <v>353</v>
      </c>
    </row>
    <row r="37" ht="36" customHeight="1" spans="2:8">
      <c r="B37" s="51" t="s">
        <v>354</v>
      </c>
      <c r="C37" s="73" t="s">
        <v>297</v>
      </c>
      <c r="D37" s="73" t="s">
        <v>252</v>
      </c>
      <c r="E37" s="73" t="s">
        <v>5</v>
      </c>
      <c r="F37" s="73" t="s">
        <v>12</v>
      </c>
      <c r="G37" s="25" t="s">
        <v>355</v>
      </c>
      <c r="H37" s="74" t="s">
        <v>356</v>
      </c>
    </row>
    <row r="38" ht="36" customHeight="1" spans="2:8">
      <c r="B38" s="45" t="s">
        <v>357</v>
      </c>
      <c r="C38" s="71" t="s">
        <v>263</v>
      </c>
      <c r="D38" s="71" t="s">
        <v>252</v>
      </c>
      <c r="E38" s="71" t="s">
        <v>5</v>
      </c>
      <c r="F38" s="71" t="s">
        <v>12</v>
      </c>
      <c r="G38" s="17" t="s">
        <v>358</v>
      </c>
      <c r="H38" s="72" t="s">
        <v>359</v>
      </c>
    </row>
    <row r="39" ht="36" customHeight="1" spans="2:8">
      <c r="B39" s="51" t="s">
        <v>360</v>
      </c>
      <c r="C39" s="73" t="s">
        <v>256</v>
      </c>
      <c r="D39" s="73" t="s">
        <v>252</v>
      </c>
      <c r="E39" s="73" t="s">
        <v>12</v>
      </c>
      <c r="F39" s="73" t="s">
        <v>12</v>
      </c>
      <c r="G39" s="25" t="s">
        <v>361</v>
      </c>
      <c r="H39" s="74" t="s">
        <v>362</v>
      </c>
    </row>
    <row r="40" ht="36" customHeight="1" spans="2:8">
      <c r="B40" s="45" t="s">
        <v>363</v>
      </c>
      <c r="C40" s="71" t="s">
        <v>297</v>
      </c>
      <c r="D40" s="71" t="s">
        <v>252</v>
      </c>
      <c r="E40" s="71" t="s">
        <v>5</v>
      </c>
      <c r="F40" s="71" t="s">
        <v>12</v>
      </c>
      <c r="G40" s="17" t="s">
        <v>364</v>
      </c>
      <c r="H40" s="72" t="s">
        <v>365</v>
      </c>
    </row>
    <row r="41" ht="36" customHeight="1" spans="2:8">
      <c r="B41" s="51" t="s">
        <v>366</v>
      </c>
      <c r="C41" s="73" t="s">
        <v>256</v>
      </c>
      <c r="D41" s="73" t="s">
        <v>252</v>
      </c>
      <c r="E41" s="73" t="s">
        <v>5</v>
      </c>
      <c r="F41" s="73" t="s">
        <v>12</v>
      </c>
      <c r="G41" s="25" t="s">
        <v>367</v>
      </c>
      <c r="H41" s="74" t="s">
        <v>368</v>
      </c>
    </row>
    <row r="42" ht="36" customHeight="1" spans="2:8">
      <c r="B42" s="45" t="s">
        <v>369</v>
      </c>
      <c r="C42" s="71" t="s">
        <v>263</v>
      </c>
      <c r="D42" s="71" t="s">
        <v>252</v>
      </c>
      <c r="E42" s="71" t="s">
        <v>5</v>
      </c>
      <c r="F42" s="71" t="s">
        <v>5</v>
      </c>
      <c r="G42" s="17" t="s">
        <v>370</v>
      </c>
      <c r="H42" s="72" t="s">
        <v>371</v>
      </c>
    </row>
    <row r="43" ht="36" customHeight="1" spans="2:8">
      <c r="B43" s="51" t="s">
        <v>372</v>
      </c>
      <c r="C43" s="73" t="s">
        <v>373</v>
      </c>
      <c r="D43" s="73" t="s">
        <v>252</v>
      </c>
      <c r="E43" s="73" t="s">
        <v>5</v>
      </c>
      <c r="F43" s="73" t="s">
        <v>5</v>
      </c>
      <c r="G43" s="25" t="s">
        <v>374</v>
      </c>
      <c r="H43" s="74" t="s">
        <v>375</v>
      </c>
    </row>
    <row r="44" ht="36" customHeight="1" spans="2:8">
      <c r="B44" s="45" t="s">
        <v>376</v>
      </c>
      <c r="C44" s="71" t="s">
        <v>256</v>
      </c>
      <c r="D44" s="71" t="s">
        <v>252</v>
      </c>
      <c r="E44" s="71" t="s">
        <v>12</v>
      </c>
      <c r="F44" s="71" t="s">
        <v>5</v>
      </c>
      <c r="G44" s="17" t="s">
        <v>377</v>
      </c>
      <c r="H44" s="72" t="s">
        <v>378</v>
      </c>
    </row>
    <row r="45" ht="36" customHeight="1" spans="2:8">
      <c r="B45" s="51" t="s">
        <v>379</v>
      </c>
      <c r="C45" s="73" t="s">
        <v>263</v>
      </c>
      <c r="D45" s="73" t="s">
        <v>252</v>
      </c>
      <c r="E45" s="73" t="s">
        <v>5</v>
      </c>
      <c r="F45" s="73" t="s">
        <v>5</v>
      </c>
      <c r="G45" s="25" t="s">
        <v>380</v>
      </c>
      <c r="H45" s="74" t="s">
        <v>381</v>
      </c>
    </row>
    <row r="46" ht="36" customHeight="1" spans="2:8">
      <c r="B46" s="45" t="s">
        <v>382</v>
      </c>
      <c r="C46" s="71" t="s">
        <v>256</v>
      </c>
      <c r="D46" s="71" t="s">
        <v>252</v>
      </c>
      <c r="E46" s="71" t="s">
        <v>5</v>
      </c>
      <c r="F46" s="71" t="s">
        <v>5</v>
      </c>
      <c r="G46" s="17" t="s">
        <v>383</v>
      </c>
      <c r="H46" s="72" t="s">
        <v>384</v>
      </c>
    </row>
    <row r="47" ht="36" customHeight="1" spans="2:8">
      <c r="B47" s="51" t="s">
        <v>385</v>
      </c>
      <c r="C47" s="73" t="s">
        <v>256</v>
      </c>
      <c r="D47" s="73" t="s">
        <v>252</v>
      </c>
      <c r="E47" s="73" t="s">
        <v>12</v>
      </c>
      <c r="F47" s="73" t="s">
        <v>5</v>
      </c>
      <c r="G47" s="25" t="s">
        <v>386</v>
      </c>
      <c r="H47" s="74" t="s">
        <v>387</v>
      </c>
    </row>
    <row r="48" ht="36" customHeight="1" spans="2:8">
      <c r="B48" s="45" t="s">
        <v>388</v>
      </c>
      <c r="C48" s="71" t="s">
        <v>297</v>
      </c>
      <c r="D48" s="71" t="s">
        <v>252</v>
      </c>
      <c r="E48" s="71" t="s">
        <v>12</v>
      </c>
      <c r="F48" s="71" t="s">
        <v>5</v>
      </c>
      <c r="G48" s="17" t="s">
        <v>389</v>
      </c>
      <c r="H48" s="72" t="s">
        <v>390</v>
      </c>
    </row>
    <row r="49" ht="36" customHeight="1" spans="2:8">
      <c r="B49" s="51" t="s">
        <v>391</v>
      </c>
      <c r="C49" s="73" t="s">
        <v>256</v>
      </c>
      <c r="D49" s="73" t="s">
        <v>252</v>
      </c>
      <c r="E49" s="73" t="s">
        <v>5</v>
      </c>
      <c r="F49" s="73" t="s">
        <v>5</v>
      </c>
      <c r="G49" s="25" t="s">
        <v>392</v>
      </c>
      <c r="H49" s="74" t="s">
        <v>393</v>
      </c>
    </row>
    <row r="50" ht="36" customHeight="1" spans="2:8">
      <c r="B50" s="45" t="s">
        <v>394</v>
      </c>
      <c r="C50" s="71" t="s">
        <v>373</v>
      </c>
      <c r="D50" s="71" t="s">
        <v>322</v>
      </c>
      <c r="E50" s="71" t="s">
        <v>12</v>
      </c>
      <c r="F50" s="71" t="s">
        <v>5</v>
      </c>
      <c r="G50" s="17" t="s">
        <v>395</v>
      </c>
      <c r="H50" s="72" t="s">
        <v>396</v>
      </c>
    </row>
    <row r="51" ht="36" customHeight="1" spans="2:8">
      <c r="B51" s="51" t="s">
        <v>397</v>
      </c>
      <c r="C51" s="73" t="s">
        <v>373</v>
      </c>
      <c r="D51" s="73" t="s">
        <v>252</v>
      </c>
      <c r="E51" s="73" t="s">
        <v>12</v>
      </c>
      <c r="F51" s="73" t="s">
        <v>5</v>
      </c>
      <c r="G51" s="25" t="s">
        <v>398</v>
      </c>
      <c r="H51" s="74" t="s">
        <v>399</v>
      </c>
    </row>
    <row r="52" ht="36" customHeight="1" spans="2:8">
      <c r="B52" s="45" t="s">
        <v>400</v>
      </c>
      <c r="C52" s="71" t="s">
        <v>256</v>
      </c>
      <c r="D52" s="71" t="s">
        <v>252</v>
      </c>
      <c r="E52" s="71" t="s">
        <v>5</v>
      </c>
      <c r="F52" s="71" t="s">
        <v>5</v>
      </c>
      <c r="G52" s="17" t="s">
        <v>401</v>
      </c>
      <c r="H52" s="72" t="s">
        <v>402</v>
      </c>
    </row>
    <row r="53" ht="36" customHeight="1" spans="2:8">
      <c r="B53" s="51" t="s">
        <v>403</v>
      </c>
      <c r="C53" s="73" t="s">
        <v>256</v>
      </c>
      <c r="D53" s="73" t="s">
        <v>252</v>
      </c>
      <c r="E53" s="73" t="s">
        <v>12</v>
      </c>
      <c r="F53" s="73" t="s">
        <v>5</v>
      </c>
      <c r="G53" s="25" t="s">
        <v>404</v>
      </c>
      <c r="H53" s="74" t="s">
        <v>405</v>
      </c>
    </row>
    <row r="54" ht="36" customHeight="1" spans="2:8">
      <c r="B54" s="45" t="s">
        <v>406</v>
      </c>
      <c r="C54" s="71" t="s">
        <v>407</v>
      </c>
      <c r="D54" s="71" t="s">
        <v>252</v>
      </c>
      <c r="E54" s="71" t="s">
        <v>12</v>
      </c>
      <c r="F54" s="71" t="s">
        <v>5</v>
      </c>
      <c r="G54" s="17" t="s">
        <v>408</v>
      </c>
      <c r="H54" s="72" t="s">
        <v>409</v>
      </c>
    </row>
    <row r="55" ht="54" customHeight="1" spans="2:8">
      <c r="B55" s="51" t="s">
        <v>410</v>
      </c>
      <c r="C55" s="73" t="s">
        <v>256</v>
      </c>
      <c r="D55" s="73" t="s">
        <v>252</v>
      </c>
      <c r="E55" s="73" t="s">
        <v>12</v>
      </c>
      <c r="F55" s="73" t="s">
        <v>5</v>
      </c>
      <c r="G55" s="25" t="s">
        <v>411</v>
      </c>
      <c r="H55" s="74" t="s">
        <v>412</v>
      </c>
    </row>
    <row r="56" ht="36" customHeight="1" spans="2:8">
      <c r="B56" s="45" t="s">
        <v>413</v>
      </c>
      <c r="C56" s="71" t="s">
        <v>373</v>
      </c>
      <c r="D56" s="71" t="s">
        <v>252</v>
      </c>
      <c r="E56" s="71" t="s">
        <v>5</v>
      </c>
      <c r="F56" s="71" t="s">
        <v>5</v>
      </c>
      <c r="G56" s="17" t="s">
        <v>414</v>
      </c>
      <c r="H56" s="72" t="s">
        <v>415</v>
      </c>
    </row>
    <row r="57" ht="36" customHeight="1" spans="2:8">
      <c r="B57" s="51" t="s">
        <v>416</v>
      </c>
      <c r="C57" s="73" t="s">
        <v>256</v>
      </c>
      <c r="D57" s="73" t="s">
        <v>252</v>
      </c>
      <c r="E57" s="73" t="s">
        <v>5</v>
      </c>
      <c r="F57" s="73" t="s">
        <v>5</v>
      </c>
      <c r="G57" s="25" t="s">
        <v>417</v>
      </c>
      <c r="H57" s="74" t="s">
        <v>418</v>
      </c>
    </row>
    <row r="58" ht="36" customHeight="1" spans="2:8">
      <c r="B58" s="45" t="s">
        <v>419</v>
      </c>
      <c r="C58" s="71" t="s">
        <v>256</v>
      </c>
      <c r="D58" s="71" t="s">
        <v>252</v>
      </c>
      <c r="E58" s="71" t="s">
        <v>5</v>
      </c>
      <c r="F58" s="71" t="s">
        <v>5</v>
      </c>
      <c r="G58" s="17" t="s">
        <v>420</v>
      </c>
      <c r="H58" s="72" t="s">
        <v>421</v>
      </c>
    </row>
    <row r="59" ht="36" customHeight="1" spans="2:8">
      <c r="B59" s="65" t="s">
        <v>422</v>
      </c>
      <c r="C59" s="99" t="s">
        <v>373</v>
      </c>
      <c r="D59" s="99" t="s">
        <v>252</v>
      </c>
      <c r="E59" s="99" t="s">
        <v>12</v>
      </c>
      <c r="F59" s="99" t="s">
        <v>5</v>
      </c>
      <c r="G59" s="31" t="s">
        <v>423</v>
      </c>
      <c r="H59" s="100" t="s">
        <v>424</v>
      </c>
    </row>
    <row r="60" customHeight="1" spans="2:8">
      <c r="B60" s="1" t="s">
        <v>16</v>
      </c>
      <c r="C60" s="1" t="s">
        <v>16</v>
      </c>
      <c r="D60" s="1" t="s">
        <v>16</v>
      </c>
      <c r="E60" s="1" t="s">
        <v>16</v>
      </c>
      <c r="F60" s="1" t="s">
        <v>16</v>
      </c>
      <c r="G60" s="1" t="s">
        <v>16</v>
      </c>
      <c r="H60" s="1" t="s">
        <v>16</v>
      </c>
    </row>
  </sheetData>
  <sheetProtection sheet="1" objects="1"/>
  <mergeCells count="1">
    <mergeCell ref="B2:H2"/>
  </mergeCells>
  <dataValidations count="2">
    <dataValidation type="list" allowBlank="1" showInputMessage="1" showErrorMessage="1" sqref="E4:F59">
      <formula1>"☑,☐"</formula1>
    </dataValidation>
    <dataValidation allowBlank="1" showInputMessage="1" showErrorMessage="1" sqref="E60:F64"/>
  </dataValidation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L133"/>
  <sheetViews>
    <sheetView workbookViewId="0">
      <selection activeCell="B2" sqref="B2:I2"/>
    </sheetView>
  </sheetViews>
  <sheetFormatPr defaultColWidth="3.625" defaultRowHeight="18" customHeight="1"/>
  <cols>
    <col min="1" max="1" width="3.625" style="1" customWidth="1"/>
    <col min="2" max="2" width="15.625" style="1" customWidth="1"/>
    <col min="3" max="3" width="12.625" style="1" customWidth="1"/>
    <col min="4" max="4" width="9.625" style="1" customWidth="1"/>
    <col min="5" max="6" width="6.625" style="1" customWidth="1"/>
    <col min="7" max="7" width="9.625" style="1" customWidth="1"/>
    <col min="8" max="8" width="96.625" style="1" customWidth="1"/>
    <col min="9" max="9" width="63.625" style="1" customWidth="1"/>
    <col min="10" max="16337" width="3.625" style="1" customWidth="1"/>
    <col min="16338" max="16384" width="3.625" style="1"/>
  </cols>
  <sheetData>
    <row r="2" ht="36" customHeight="1" spans="2:38">
      <c r="B2" s="34" t="s">
        <v>77</v>
      </c>
      <c r="C2" s="67"/>
      <c r="D2" s="67"/>
      <c r="E2" s="67"/>
      <c r="F2" s="67"/>
      <c r="G2" s="67"/>
      <c r="H2" s="67"/>
      <c r="I2" s="35"/>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row>
    <row r="3" ht="36" customHeight="1" spans="2:38">
      <c r="B3" s="39" t="s">
        <v>45</v>
      </c>
      <c r="C3" s="68" t="s">
        <v>10</v>
      </c>
      <c r="D3" s="68" t="s">
        <v>78</v>
      </c>
      <c r="E3" s="68" t="s">
        <v>82</v>
      </c>
      <c r="F3" s="68" t="s">
        <v>80</v>
      </c>
      <c r="G3" s="68" t="s">
        <v>52</v>
      </c>
      <c r="H3" s="69" t="s">
        <v>69</v>
      </c>
      <c r="I3" s="70" t="s">
        <v>81</v>
      </c>
      <c r="J3" s="53"/>
      <c r="K3" s="53"/>
      <c r="M3" s="53"/>
      <c r="N3" s="53"/>
      <c r="O3" s="53"/>
      <c r="P3" s="53"/>
      <c r="Q3" s="53"/>
      <c r="S3" s="53"/>
      <c r="T3" s="53"/>
      <c r="U3" s="53"/>
      <c r="V3" s="53"/>
      <c r="W3" s="53"/>
      <c r="X3" s="53"/>
      <c r="Y3" s="53"/>
      <c r="Z3" s="53"/>
      <c r="AA3" s="53"/>
      <c r="AB3" s="53"/>
      <c r="AC3" s="53"/>
      <c r="AD3" s="53"/>
      <c r="AE3" s="53"/>
      <c r="AF3" s="53"/>
      <c r="AG3" s="53"/>
      <c r="AH3" s="53"/>
      <c r="AI3" s="53"/>
      <c r="AJ3" s="53"/>
      <c r="AK3" s="53"/>
      <c r="AL3" s="53"/>
    </row>
    <row r="4" ht="36" customHeight="1" spans="2:38">
      <c r="B4" s="45" t="s">
        <v>425</v>
      </c>
      <c r="C4" s="71" t="s">
        <v>256</v>
      </c>
      <c r="D4" s="71" t="s">
        <v>426</v>
      </c>
      <c r="E4" s="71" t="s">
        <v>427</v>
      </c>
      <c r="F4" s="71" t="s">
        <v>12</v>
      </c>
      <c r="G4" s="15" t="s">
        <v>428</v>
      </c>
      <c r="H4" s="17" t="s">
        <v>429</v>
      </c>
      <c r="I4" s="72" t="s">
        <v>430</v>
      </c>
      <c r="K4" s="19" t="str">
        <f>VLOOKUP(角色卡!AR41,术法!$B$4:$I$133,7,0)</f>
        <v> </v>
      </c>
    </row>
    <row r="5" ht="36" customHeight="1" spans="2:38">
      <c r="B5" s="51" t="s">
        <v>431</v>
      </c>
      <c r="C5" s="73" t="s">
        <v>256</v>
      </c>
      <c r="D5" s="73" t="s">
        <v>252</v>
      </c>
      <c r="E5" s="73" t="s">
        <v>427</v>
      </c>
      <c r="F5" s="73" t="s">
        <v>12</v>
      </c>
      <c r="G5" s="23" t="s">
        <v>432</v>
      </c>
      <c r="H5" s="25" t="s">
        <v>433</v>
      </c>
      <c r="I5" s="74" t="s">
        <v>434</v>
      </c>
      <c r="K5" s="19" t="str">
        <f>VLOOKUP(角色卡!AR43,术法!$B$4:$I$133,7,0)</f>
        <v> </v>
      </c>
    </row>
    <row r="6" ht="36" customHeight="1" spans="2:38">
      <c r="B6" s="75" t="s">
        <v>435</v>
      </c>
      <c r="C6" s="76" t="s">
        <v>251</v>
      </c>
      <c r="D6" s="76" t="s">
        <v>426</v>
      </c>
      <c r="E6" s="76" t="s">
        <v>427</v>
      </c>
      <c r="F6" s="76" t="s">
        <v>12</v>
      </c>
      <c r="G6" s="77" t="s">
        <v>428</v>
      </c>
      <c r="H6" s="78" t="s">
        <v>436</v>
      </c>
      <c r="I6" s="79" t="s">
        <v>437</v>
      </c>
      <c r="K6" s="19" t="str">
        <f>VLOOKUP(角色卡!AR39,术法!$B$4:$I$133,7,0)</f>
        <v> </v>
      </c>
    </row>
    <row r="7" ht="36" customHeight="1" spans="2:38">
      <c r="B7" s="51" t="s">
        <v>438</v>
      </c>
      <c r="C7" s="73" t="s">
        <v>251</v>
      </c>
      <c r="D7" s="73" t="s">
        <v>439</v>
      </c>
      <c r="E7" s="73" t="s">
        <v>440</v>
      </c>
      <c r="F7" s="73" t="s">
        <v>12</v>
      </c>
      <c r="G7" s="23" t="s">
        <v>428</v>
      </c>
      <c r="H7" s="25" t="s">
        <v>441</v>
      </c>
      <c r="I7" s="74" t="s">
        <v>442</v>
      </c>
      <c r="K7" s="19" t="str">
        <f>VLOOKUP(角色卡!AR45,术法!$B$4:$I$133,7,0)</f>
        <v> </v>
      </c>
    </row>
    <row r="8" ht="36" customHeight="1" spans="2:38">
      <c r="B8" s="45" t="s">
        <v>443</v>
      </c>
      <c r="C8" s="71" t="s">
        <v>256</v>
      </c>
      <c r="D8" s="71" t="s">
        <v>252</v>
      </c>
      <c r="E8" s="71" t="s">
        <v>440</v>
      </c>
      <c r="F8" s="71" t="s">
        <v>12</v>
      </c>
      <c r="G8" s="15" t="s">
        <v>428</v>
      </c>
      <c r="H8" s="17" t="s">
        <v>444</v>
      </c>
      <c r="I8" s="72" t="s">
        <v>445</v>
      </c>
      <c r="K8" s="19" t="str">
        <f>VLOOKUP(角色卡!AR47,术法!$B$4:$I$133,7,0)</f>
        <v> </v>
      </c>
    </row>
    <row r="9" ht="36" customHeight="1" spans="2:38">
      <c r="B9" s="51" t="s">
        <v>446</v>
      </c>
      <c r="C9" s="73" t="s">
        <v>256</v>
      </c>
      <c r="D9" s="73" t="s">
        <v>252</v>
      </c>
      <c r="E9" s="73" t="s">
        <v>440</v>
      </c>
      <c r="F9" s="73" t="s">
        <v>12</v>
      </c>
      <c r="G9" s="23" t="s">
        <v>428</v>
      </c>
      <c r="H9" s="25" t="s">
        <v>447</v>
      </c>
      <c r="I9" s="74" t="s">
        <v>448</v>
      </c>
      <c r="K9" s="19" t="str">
        <f>VLOOKUP(角色卡!AR49,术法!$B$4:$I$133,7,0)</f>
        <v> </v>
      </c>
    </row>
    <row r="10" ht="36" customHeight="1" spans="2:38">
      <c r="B10" s="45" t="s">
        <v>449</v>
      </c>
      <c r="C10" s="15" t="s">
        <v>450</v>
      </c>
      <c r="D10" s="71" t="s">
        <v>252</v>
      </c>
      <c r="E10" s="71" t="s">
        <v>440</v>
      </c>
      <c r="F10" s="71" t="s">
        <v>12</v>
      </c>
      <c r="G10" s="15" t="s">
        <v>428</v>
      </c>
      <c r="H10" s="17" t="s">
        <v>451</v>
      </c>
      <c r="I10" s="72" t="s">
        <v>452</v>
      </c>
      <c r="K10" s="19" t="str">
        <f>VLOOKUP(角色卡!AR51,术法!$B$4:$I$133,7,0)</f>
        <v> </v>
      </c>
    </row>
    <row r="11" ht="36" customHeight="1" spans="2:38">
      <c r="B11" s="51" t="s">
        <v>453</v>
      </c>
      <c r="C11" s="73" t="s">
        <v>256</v>
      </c>
      <c r="D11" s="73" t="s">
        <v>439</v>
      </c>
      <c r="E11" s="73" t="s">
        <v>440</v>
      </c>
      <c r="F11" s="73" t="s">
        <v>12</v>
      </c>
      <c r="G11" s="23" t="s">
        <v>428</v>
      </c>
      <c r="H11" s="25" t="s">
        <v>454</v>
      </c>
      <c r="I11" s="74" t="s">
        <v>455</v>
      </c>
      <c r="K11" s="19" t="str">
        <f>VLOOKUP(角色卡!AR53,术法!$B$4:$I$133,7,0)</f>
        <v> </v>
      </c>
    </row>
    <row r="12" ht="36" customHeight="1" spans="2:38">
      <c r="B12" s="45" t="s">
        <v>456</v>
      </c>
      <c r="C12" s="71" t="s">
        <v>256</v>
      </c>
      <c r="D12" s="71" t="s">
        <v>426</v>
      </c>
      <c r="E12" s="71" t="s">
        <v>440</v>
      </c>
      <c r="F12" s="71" t="s">
        <v>12</v>
      </c>
      <c r="G12" s="15" t="s">
        <v>428</v>
      </c>
      <c r="H12" s="17" t="s">
        <v>457</v>
      </c>
      <c r="I12" s="72" t="s">
        <v>458</v>
      </c>
      <c r="K12" s="19" t="str">
        <f>VLOOKUP(角色卡!AR55,术法!$B$4:$I$133,7,0)</f>
        <v> </v>
      </c>
    </row>
    <row r="13" ht="36" customHeight="1" spans="2:38">
      <c r="B13" s="51" t="s">
        <v>459</v>
      </c>
      <c r="C13" s="73" t="s">
        <v>256</v>
      </c>
      <c r="D13" s="73" t="s">
        <v>439</v>
      </c>
      <c r="E13" s="73" t="s">
        <v>440</v>
      </c>
      <c r="F13" s="73" t="s">
        <v>12</v>
      </c>
      <c r="G13" s="23" t="s">
        <v>428</v>
      </c>
      <c r="H13" s="25" t="s">
        <v>460</v>
      </c>
      <c r="I13" s="74" t="s">
        <v>461</v>
      </c>
      <c r="K13" s="19" t="str">
        <f>VLOOKUP(角色卡!AR57,术法!$B$4:$I$133,7,0)</f>
        <v> </v>
      </c>
    </row>
    <row r="14" ht="36" customHeight="1" spans="2:38">
      <c r="B14" s="45" t="s">
        <v>462</v>
      </c>
      <c r="C14" s="71" t="s">
        <v>256</v>
      </c>
      <c r="D14" s="71" t="s">
        <v>439</v>
      </c>
      <c r="E14" s="71" t="s">
        <v>440</v>
      </c>
      <c r="F14" s="71" t="s">
        <v>12</v>
      </c>
      <c r="G14" s="15" t="s">
        <v>428</v>
      </c>
      <c r="H14" s="17" t="s">
        <v>463</v>
      </c>
      <c r="I14" s="72" t="s">
        <v>464</v>
      </c>
      <c r="K14" s="19" t="str">
        <f>VLOOKUP(角色卡!AR59,术法!$B$4:$I$133,7,0)</f>
        <v> </v>
      </c>
    </row>
    <row r="15" ht="54" customHeight="1" spans="2:38">
      <c r="B15" s="51" t="s">
        <v>465</v>
      </c>
      <c r="C15" s="73" t="s">
        <v>256</v>
      </c>
      <c r="D15" s="73" t="s">
        <v>252</v>
      </c>
      <c r="E15" s="73" t="s">
        <v>440</v>
      </c>
      <c r="F15" s="73" t="s">
        <v>12</v>
      </c>
      <c r="G15" s="23" t="s">
        <v>428</v>
      </c>
      <c r="H15" s="25" t="s">
        <v>466</v>
      </c>
      <c r="I15" s="74" t="s">
        <v>467</v>
      </c>
      <c r="K15" s="19" t="str">
        <f>VLOOKUP(角色卡!AR61,术法!$B$4:$I$133,7,0)</f>
        <v> </v>
      </c>
    </row>
    <row r="16" ht="36" customHeight="1" spans="2:38">
      <c r="B16" s="45" t="s">
        <v>468</v>
      </c>
      <c r="C16" s="71" t="s">
        <v>256</v>
      </c>
      <c r="D16" s="71" t="s">
        <v>252</v>
      </c>
      <c r="E16" s="71" t="s">
        <v>440</v>
      </c>
      <c r="F16" s="71" t="s">
        <v>12</v>
      </c>
      <c r="G16" s="15" t="s">
        <v>469</v>
      </c>
      <c r="H16" s="17" t="s">
        <v>470</v>
      </c>
      <c r="I16" s="72" t="s">
        <v>471</v>
      </c>
      <c r="K16" s="19" t="str">
        <f>VLOOKUP(角色卡!AR63,术法!$B$4:$I$133,7,0)</f>
        <v> </v>
      </c>
    </row>
    <row r="17" ht="36" customHeight="1" spans="2:11">
      <c r="B17" s="51" t="s">
        <v>472</v>
      </c>
      <c r="C17" s="73" t="s">
        <v>263</v>
      </c>
      <c r="D17" s="73" t="s">
        <v>426</v>
      </c>
      <c r="E17" s="73" t="s">
        <v>440</v>
      </c>
      <c r="F17" s="73" t="s">
        <v>12</v>
      </c>
      <c r="G17" s="23" t="s">
        <v>428</v>
      </c>
      <c r="H17" s="25" t="s">
        <v>473</v>
      </c>
      <c r="I17" s="74" t="s">
        <v>474</v>
      </c>
      <c r="K17" s="19" t="str">
        <f>VLOOKUP(角色卡!AR65,术法!$B$4:$I$133,7,0)</f>
        <v> </v>
      </c>
    </row>
    <row r="18" ht="36" customHeight="1" spans="2:11">
      <c r="B18" s="45" t="s">
        <v>475</v>
      </c>
      <c r="C18" s="15" t="s">
        <v>476</v>
      </c>
      <c r="D18" s="71" t="s">
        <v>252</v>
      </c>
      <c r="E18" s="71" t="s">
        <v>440</v>
      </c>
      <c r="F18" s="71" t="s">
        <v>12</v>
      </c>
      <c r="G18" s="15" t="s">
        <v>432</v>
      </c>
      <c r="H18" s="17" t="s">
        <v>477</v>
      </c>
      <c r="I18" s="72" t="s">
        <v>478</v>
      </c>
      <c r="K18" s="19" t="str">
        <f>VLOOKUP(角色卡!AR67,术法!$B$4:$I$133,7,0)</f>
        <v> </v>
      </c>
    </row>
    <row r="19" ht="72" customHeight="1" spans="2:11">
      <c r="B19" s="51" t="s">
        <v>479</v>
      </c>
      <c r="C19" s="73" t="s">
        <v>263</v>
      </c>
      <c r="D19" s="80" t="s">
        <v>480</v>
      </c>
      <c r="E19" s="73" t="s">
        <v>440</v>
      </c>
      <c r="F19" s="73" t="s">
        <v>12</v>
      </c>
      <c r="G19" s="23" t="s">
        <v>481</v>
      </c>
      <c r="H19" s="25" t="s">
        <v>482</v>
      </c>
      <c r="I19" s="74" t="s">
        <v>483</v>
      </c>
      <c r="K19" s="19" t="str">
        <f>VLOOKUP(角色卡!AR69,术法!$B$4:$I$133,7,0)</f>
        <v> </v>
      </c>
    </row>
    <row r="20" ht="36" customHeight="1" spans="2:11">
      <c r="B20" s="45" t="s">
        <v>484</v>
      </c>
      <c r="C20" s="71" t="s">
        <v>256</v>
      </c>
      <c r="D20" s="71" t="s">
        <v>439</v>
      </c>
      <c r="E20" s="71" t="s">
        <v>440</v>
      </c>
      <c r="F20" s="71" t="s">
        <v>12</v>
      </c>
      <c r="G20" s="15" t="s">
        <v>428</v>
      </c>
      <c r="H20" s="17" t="s">
        <v>485</v>
      </c>
      <c r="I20" s="72" t="s">
        <v>486</v>
      </c>
      <c r="K20" s="19" t="str">
        <f>VLOOKUP(角色卡!AR71,术法!$B$4:$I$133,7,0)</f>
        <v> </v>
      </c>
    </row>
    <row r="21" ht="36" customHeight="1" spans="2:11">
      <c r="B21" s="51" t="s">
        <v>487</v>
      </c>
      <c r="C21" s="73" t="s">
        <v>256</v>
      </c>
      <c r="D21" s="73" t="s">
        <v>439</v>
      </c>
      <c r="E21" s="73" t="s">
        <v>440</v>
      </c>
      <c r="F21" s="73" t="s">
        <v>12</v>
      </c>
      <c r="G21" s="23" t="s">
        <v>428</v>
      </c>
      <c r="H21" s="25" t="s">
        <v>488</v>
      </c>
      <c r="I21" s="74" t="s">
        <v>489</v>
      </c>
      <c r="K21" s="19" t="str">
        <f>VLOOKUP(角色卡!AR73,术法!$B$4:$I$133,7,0)</f>
        <v> </v>
      </c>
    </row>
    <row r="22" ht="90" customHeight="1" spans="2:11">
      <c r="B22" s="45" t="s">
        <v>490</v>
      </c>
      <c r="C22" s="71" t="s">
        <v>263</v>
      </c>
      <c r="D22" s="71" t="s">
        <v>491</v>
      </c>
      <c r="E22" s="71" t="s">
        <v>440</v>
      </c>
      <c r="F22" s="71" t="s">
        <v>12</v>
      </c>
      <c r="G22" s="15" t="s">
        <v>428</v>
      </c>
      <c r="H22" s="17" t="s">
        <v>492</v>
      </c>
      <c r="I22" s="72" t="s">
        <v>493</v>
      </c>
    </row>
    <row r="23" ht="36" customHeight="1" spans="2:11">
      <c r="B23" s="51" t="s">
        <v>494</v>
      </c>
      <c r="C23" s="73" t="s">
        <v>263</v>
      </c>
      <c r="D23" s="73" t="s">
        <v>252</v>
      </c>
      <c r="E23" s="73" t="s">
        <v>440</v>
      </c>
      <c r="F23" s="73" t="s">
        <v>12</v>
      </c>
      <c r="G23" s="23" t="s">
        <v>428</v>
      </c>
      <c r="H23" s="25" t="s">
        <v>495</v>
      </c>
      <c r="I23" s="74" t="s">
        <v>496</v>
      </c>
    </row>
    <row r="24" ht="36" customHeight="1" spans="2:11">
      <c r="B24" s="45" t="s">
        <v>497</v>
      </c>
      <c r="C24" s="15" t="s">
        <v>450</v>
      </c>
      <c r="D24" s="71" t="s">
        <v>252</v>
      </c>
      <c r="E24" s="71" t="s">
        <v>440</v>
      </c>
      <c r="F24" s="71" t="s">
        <v>12</v>
      </c>
      <c r="G24" s="15" t="s">
        <v>428</v>
      </c>
      <c r="H24" s="17" t="s">
        <v>498</v>
      </c>
      <c r="I24" s="72" t="s">
        <v>499</v>
      </c>
    </row>
    <row r="25" ht="36" customHeight="1" spans="2:11">
      <c r="B25" s="51" t="s">
        <v>500</v>
      </c>
      <c r="C25" s="23" t="s">
        <v>450</v>
      </c>
      <c r="D25" s="73" t="s">
        <v>252</v>
      </c>
      <c r="E25" s="73" t="s">
        <v>440</v>
      </c>
      <c r="F25" s="73" t="s">
        <v>12</v>
      </c>
      <c r="G25" s="23" t="s">
        <v>428</v>
      </c>
      <c r="H25" s="25" t="s">
        <v>501</v>
      </c>
      <c r="I25" s="74" t="s">
        <v>502</v>
      </c>
    </row>
    <row r="26" ht="36" customHeight="1" spans="2:11">
      <c r="B26" s="45" t="s">
        <v>503</v>
      </c>
      <c r="C26" s="15" t="s">
        <v>450</v>
      </c>
      <c r="D26" s="71" t="s">
        <v>252</v>
      </c>
      <c r="E26" s="71" t="s">
        <v>440</v>
      </c>
      <c r="F26" s="71" t="s">
        <v>12</v>
      </c>
      <c r="G26" s="15" t="s">
        <v>428</v>
      </c>
      <c r="H26" s="17" t="s">
        <v>504</v>
      </c>
      <c r="I26" s="72" t="s">
        <v>505</v>
      </c>
    </row>
    <row r="27" ht="36" customHeight="1" spans="2:11">
      <c r="B27" s="51" t="s">
        <v>506</v>
      </c>
      <c r="C27" s="23" t="s">
        <v>450</v>
      </c>
      <c r="D27" s="73" t="s">
        <v>252</v>
      </c>
      <c r="E27" s="73" t="s">
        <v>440</v>
      </c>
      <c r="F27" s="73" t="s">
        <v>12</v>
      </c>
      <c r="G27" s="23" t="s">
        <v>428</v>
      </c>
      <c r="H27" s="25" t="s">
        <v>507</v>
      </c>
      <c r="I27" s="74" t="s">
        <v>508</v>
      </c>
    </row>
    <row r="28" ht="54" customHeight="1" spans="2:11">
      <c r="B28" s="45" t="s">
        <v>509</v>
      </c>
      <c r="C28" s="15" t="s">
        <v>450</v>
      </c>
      <c r="D28" s="71" t="s">
        <v>252</v>
      </c>
      <c r="E28" s="71" t="s">
        <v>440</v>
      </c>
      <c r="F28" s="71" t="s">
        <v>12</v>
      </c>
      <c r="G28" s="15" t="s">
        <v>428</v>
      </c>
      <c r="H28" s="17" t="s">
        <v>510</v>
      </c>
      <c r="I28" s="72" t="s">
        <v>511</v>
      </c>
    </row>
    <row r="29" ht="54" customHeight="1" spans="2:11">
      <c r="B29" s="51" t="s">
        <v>512</v>
      </c>
      <c r="C29" s="23" t="s">
        <v>450</v>
      </c>
      <c r="D29" s="73" t="s">
        <v>252</v>
      </c>
      <c r="E29" s="73" t="s">
        <v>440</v>
      </c>
      <c r="F29" s="73" t="s">
        <v>12</v>
      </c>
      <c r="G29" s="23" t="s">
        <v>428</v>
      </c>
      <c r="H29" s="25" t="s">
        <v>513</v>
      </c>
      <c r="I29" s="74" t="s">
        <v>514</v>
      </c>
    </row>
    <row r="30" ht="54" customHeight="1" spans="2:11">
      <c r="B30" s="45" t="s">
        <v>515</v>
      </c>
      <c r="C30" s="15" t="s">
        <v>516</v>
      </c>
      <c r="D30" s="71" t="s">
        <v>252</v>
      </c>
      <c r="E30" s="71" t="s">
        <v>440</v>
      </c>
      <c r="F30" s="71" t="s">
        <v>12</v>
      </c>
      <c r="G30" s="15" t="s">
        <v>469</v>
      </c>
      <c r="H30" s="17" t="s">
        <v>517</v>
      </c>
      <c r="I30" s="72" t="s">
        <v>518</v>
      </c>
    </row>
    <row r="31" ht="36" customHeight="1" spans="2:11">
      <c r="B31" s="51" t="s">
        <v>519</v>
      </c>
      <c r="C31" s="73" t="s">
        <v>263</v>
      </c>
      <c r="D31" s="73" t="s">
        <v>252</v>
      </c>
      <c r="E31" s="73" t="s">
        <v>440</v>
      </c>
      <c r="F31" s="73" t="s">
        <v>12</v>
      </c>
      <c r="G31" s="23" t="s">
        <v>428</v>
      </c>
      <c r="H31" s="25" t="s">
        <v>520</v>
      </c>
      <c r="I31" s="74" t="s">
        <v>521</v>
      </c>
    </row>
    <row r="32" ht="54" customHeight="1" spans="2:11">
      <c r="B32" s="45" t="s">
        <v>522</v>
      </c>
      <c r="C32" s="71" t="s">
        <v>256</v>
      </c>
      <c r="D32" s="71" t="s">
        <v>426</v>
      </c>
      <c r="E32" s="71" t="s">
        <v>440</v>
      </c>
      <c r="F32" s="71" t="s">
        <v>12</v>
      </c>
      <c r="G32" s="15" t="s">
        <v>428</v>
      </c>
      <c r="H32" s="17" t="s">
        <v>523</v>
      </c>
      <c r="I32" s="72" t="s">
        <v>524</v>
      </c>
    </row>
    <row r="33" ht="36" customHeight="1" spans="2:9">
      <c r="B33" s="51" t="s">
        <v>525</v>
      </c>
      <c r="C33" s="73" t="s">
        <v>263</v>
      </c>
      <c r="D33" s="73" t="s">
        <v>252</v>
      </c>
      <c r="E33" s="73" t="s">
        <v>440</v>
      </c>
      <c r="F33" s="73" t="s">
        <v>12</v>
      </c>
      <c r="G33" s="23" t="s">
        <v>432</v>
      </c>
      <c r="H33" s="25" t="s">
        <v>526</v>
      </c>
      <c r="I33" s="74" t="s">
        <v>527</v>
      </c>
    </row>
    <row r="34" ht="36" customHeight="1" spans="2:9">
      <c r="B34" s="45" t="s">
        <v>528</v>
      </c>
      <c r="C34" s="71" t="s">
        <v>256</v>
      </c>
      <c r="D34" s="71" t="s">
        <v>252</v>
      </c>
      <c r="E34" s="71" t="s">
        <v>440</v>
      </c>
      <c r="F34" s="71" t="s">
        <v>12</v>
      </c>
      <c r="G34" s="15" t="s">
        <v>428</v>
      </c>
      <c r="H34" s="17" t="s">
        <v>529</v>
      </c>
      <c r="I34" s="72" t="s">
        <v>530</v>
      </c>
    </row>
    <row r="35" ht="36" customHeight="1" spans="2:9">
      <c r="B35" s="51" t="s">
        <v>531</v>
      </c>
      <c r="C35" s="73" t="s">
        <v>297</v>
      </c>
      <c r="D35" s="73" t="s">
        <v>252</v>
      </c>
      <c r="E35" s="73" t="s">
        <v>440</v>
      </c>
      <c r="F35" s="73" t="s">
        <v>12</v>
      </c>
      <c r="G35" s="23" t="s">
        <v>432</v>
      </c>
      <c r="H35" s="25" t="s">
        <v>532</v>
      </c>
      <c r="I35" s="74" t="s">
        <v>533</v>
      </c>
    </row>
    <row r="36" ht="36" customHeight="1" spans="2:9">
      <c r="B36" s="45" t="s">
        <v>534</v>
      </c>
      <c r="C36" s="71" t="s">
        <v>535</v>
      </c>
      <c r="D36" s="81" t="s">
        <v>536</v>
      </c>
      <c r="E36" s="71" t="s">
        <v>440</v>
      </c>
      <c r="F36" s="71" t="s">
        <v>12</v>
      </c>
      <c r="G36" s="15" t="s">
        <v>428</v>
      </c>
      <c r="H36" s="17" t="s">
        <v>537</v>
      </c>
      <c r="I36" s="72" t="s">
        <v>538</v>
      </c>
    </row>
    <row r="37" ht="36" customHeight="1" spans="2:9">
      <c r="B37" s="51" t="s">
        <v>539</v>
      </c>
      <c r="C37" s="73" t="s">
        <v>256</v>
      </c>
      <c r="D37" s="73" t="s">
        <v>252</v>
      </c>
      <c r="E37" s="73" t="s">
        <v>440</v>
      </c>
      <c r="F37" s="73" t="s">
        <v>12</v>
      </c>
      <c r="G37" s="23" t="s">
        <v>432</v>
      </c>
      <c r="H37" s="25" t="s">
        <v>540</v>
      </c>
      <c r="I37" s="74" t="s">
        <v>541</v>
      </c>
    </row>
    <row r="38" ht="108" customHeight="1" spans="2:9">
      <c r="B38" s="45" t="s">
        <v>542</v>
      </c>
      <c r="C38" s="71" t="s">
        <v>263</v>
      </c>
      <c r="D38" s="71" t="s">
        <v>426</v>
      </c>
      <c r="E38" s="71" t="s">
        <v>440</v>
      </c>
      <c r="F38" s="71" t="s">
        <v>5</v>
      </c>
      <c r="G38" s="15" t="s">
        <v>428</v>
      </c>
      <c r="H38" s="17" t="s">
        <v>543</v>
      </c>
      <c r="I38" s="72" t="s">
        <v>112</v>
      </c>
    </row>
    <row r="39" ht="36" customHeight="1" spans="2:9">
      <c r="B39" s="51" t="s">
        <v>544</v>
      </c>
      <c r="C39" s="73" t="s">
        <v>263</v>
      </c>
      <c r="D39" s="73" t="s">
        <v>252</v>
      </c>
      <c r="E39" s="73" t="s">
        <v>440</v>
      </c>
      <c r="F39" s="73" t="s">
        <v>5</v>
      </c>
      <c r="G39" s="23" t="s">
        <v>428</v>
      </c>
      <c r="H39" s="25" t="s">
        <v>545</v>
      </c>
      <c r="I39" s="74" t="s">
        <v>546</v>
      </c>
    </row>
    <row r="40" ht="36" customHeight="1" spans="2:9">
      <c r="B40" s="45" t="s">
        <v>547</v>
      </c>
      <c r="C40" s="71" t="s">
        <v>297</v>
      </c>
      <c r="D40" s="71" t="s">
        <v>252</v>
      </c>
      <c r="E40" s="71" t="s">
        <v>440</v>
      </c>
      <c r="F40" s="71" t="s">
        <v>5</v>
      </c>
      <c r="G40" s="15" t="s">
        <v>432</v>
      </c>
      <c r="H40" s="17" t="s">
        <v>548</v>
      </c>
      <c r="I40" s="72" t="s">
        <v>549</v>
      </c>
    </row>
    <row r="41" ht="36" customHeight="1" spans="2:9">
      <c r="B41" s="51" t="s">
        <v>550</v>
      </c>
      <c r="C41" s="73" t="s">
        <v>263</v>
      </c>
      <c r="D41" s="73" t="s">
        <v>426</v>
      </c>
      <c r="E41" s="73" t="s">
        <v>440</v>
      </c>
      <c r="F41" s="73" t="s">
        <v>5</v>
      </c>
      <c r="G41" s="23" t="s">
        <v>428</v>
      </c>
      <c r="H41" s="25" t="s">
        <v>551</v>
      </c>
      <c r="I41" s="74" t="s">
        <v>552</v>
      </c>
    </row>
    <row r="42" ht="36" customHeight="1" spans="2:9">
      <c r="B42" s="45" t="s">
        <v>553</v>
      </c>
      <c r="C42" s="71" t="s">
        <v>263</v>
      </c>
      <c r="D42" s="71" t="s">
        <v>252</v>
      </c>
      <c r="E42" s="71" t="s">
        <v>440</v>
      </c>
      <c r="F42" s="71" t="s">
        <v>5</v>
      </c>
      <c r="G42" s="15" t="s">
        <v>428</v>
      </c>
      <c r="H42" s="17" t="s">
        <v>554</v>
      </c>
      <c r="I42" s="72" t="s">
        <v>555</v>
      </c>
    </row>
    <row r="43" ht="36" customHeight="1" spans="2:9">
      <c r="B43" s="51" t="s">
        <v>556</v>
      </c>
      <c r="C43" s="23" t="s">
        <v>476</v>
      </c>
      <c r="D43" s="73" t="s">
        <v>252</v>
      </c>
      <c r="E43" s="73" t="s">
        <v>440</v>
      </c>
      <c r="F43" s="73" t="s">
        <v>5</v>
      </c>
      <c r="G43" s="23" t="s">
        <v>428</v>
      </c>
      <c r="H43" s="25" t="s">
        <v>557</v>
      </c>
      <c r="I43" s="74" t="s">
        <v>558</v>
      </c>
    </row>
    <row r="44" ht="36" customHeight="1" spans="2:9">
      <c r="B44" s="45" t="s">
        <v>559</v>
      </c>
      <c r="C44" s="71" t="s">
        <v>373</v>
      </c>
      <c r="D44" s="71" t="s">
        <v>252</v>
      </c>
      <c r="E44" s="71" t="s">
        <v>440</v>
      </c>
      <c r="F44" s="71" t="s">
        <v>5</v>
      </c>
      <c r="G44" s="15" t="s">
        <v>428</v>
      </c>
      <c r="H44" s="17" t="s">
        <v>560</v>
      </c>
      <c r="I44" s="72" t="s">
        <v>561</v>
      </c>
    </row>
    <row r="45" ht="72" customHeight="1" spans="2:9">
      <c r="B45" s="51" t="s">
        <v>562</v>
      </c>
      <c r="C45" s="23" t="s">
        <v>476</v>
      </c>
      <c r="D45" s="73" t="s">
        <v>252</v>
      </c>
      <c r="E45" s="73" t="s">
        <v>440</v>
      </c>
      <c r="F45" s="73" t="s">
        <v>5</v>
      </c>
      <c r="G45" s="23" t="s">
        <v>563</v>
      </c>
      <c r="H45" s="25" t="s">
        <v>564</v>
      </c>
      <c r="I45" s="74" t="s">
        <v>565</v>
      </c>
    </row>
    <row r="46" ht="36" customHeight="1" spans="2:9">
      <c r="B46" s="45" t="s">
        <v>566</v>
      </c>
      <c r="C46" s="71" t="s">
        <v>256</v>
      </c>
      <c r="D46" s="71" t="s">
        <v>252</v>
      </c>
      <c r="E46" s="71" t="s">
        <v>567</v>
      </c>
      <c r="F46" s="71" t="s">
        <v>12</v>
      </c>
      <c r="G46" s="15" t="s">
        <v>432</v>
      </c>
      <c r="H46" s="17" t="s">
        <v>568</v>
      </c>
      <c r="I46" s="72" t="s">
        <v>569</v>
      </c>
    </row>
    <row r="47" ht="36" customHeight="1" spans="2:9">
      <c r="B47" s="51" t="s">
        <v>570</v>
      </c>
      <c r="C47" s="73" t="s">
        <v>297</v>
      </c>
      <c r="D47" s="73" t="s">
        <v>426</v>
      </c>
      <c r="E47" s="73" t="s">
        <v>567</v>
      </c>
      <c r="F47" s="73" t="s">
        <v>12</v>
      </c>
      <c r="G47" s="23" t="s">
        <v>428</v>
      </c>
      <c r="H47" s="25" t="s">
        <v>571</v>
      </c>
      <c r="I47" s="74" t="s">
        <v>572</v>
      </c>
    </row>
    <row r="48" ht="36" customHeight="1" spans="2:9">
      <c r="B48" s="45" t="s">
        <v>573</v>
      </c>
      <c r="C48" s="71" t="s">
        <v>256</v>
      </c>
      <c r="D48" s="71" t="s">
        <v>426</v>
      </c>
      <c r="E48" s="71" t="s">
        <v>567</v>
      </c>
      <c r="F48" s="71" t="s">
        <v>12</v>
      </c>
      <c r="G48" s="15" t="s">
        <v>428</v>
      </c>
      <c r="H48" s="17" t="s">
        <v>574</v>
      </c>
      <c r="I48" s="72" t="s">
        <v>575</v>
      </c>
    </row>
    <row r="49" ht="36" customHeight="1" spans="2:9">
      <c r="B49" s="51" t="s">
        <v>576</v>
      </c>
      <c r="C49" s="73" t="s">
        <v>256</v>
      </c>
      <c r="D49" s="73" t="s">
        <v>252</v>
      </c>
      <c r="E49" s="73" t="s">
        <v>567</v>
      </c>
      <c r="F49" s="73" t="s">
        <v>12</v>
      </c>
      <c r="G49" s="23" t="s">
        <v>428</v>
      </c>
      <c r="H49" s="25" t="s">
        <v>577</v>
      </c>
      <c r="I49" s="74" t="s">
        <v>578</v>
      </c>
    </row>
    <row r="50" ht="36" customHeight="1" spans="2:9">
      <c r="B50" s="45" t="s">
        <v>579</v>
      </c>
      <c r="C50" s="71" t="s">
        <v>297</v>
      </c>
      <c r="D50" s="71" t="s">
        <v>252</v>
      </c>
      <c r="E50" s="71" t="s">
        <v>567</v>
      </c>
      <c r="F50" s="71" t="s">
        <v>12</v>
      </c>
      <c r="G50" s="15" t="s">
        <v>481</v>
      </c>
      <c r="H50" s="17" t="s">
        <v>580</v>
      </c>
      <c r="I50" s="72" t="s">
        <v>581</v>
      </c>
    </row>
    <row r="51" ht="36" customHeight="1" spans="2:9">
      <c r="B51" s="51" t="s">
        <v>582</v>
      </c>
      <c r="C51" s="73" t="s">
        <v>263</v>
      </c>
      <c r="D51" s="73" t="s">
        <v>426</v>
      </c>
      <c r="E51" s="73" t="s">
        <v>567</v>
      </c>
      <c r="F51" s="73" t="s">
        <v>12</v>
      </c>
      <c r="G51" s="23" t="s">
        <v>428</v>
      </c>
      <c r="H51" s="25" t="s">
        <v>583</v>
      </c>
      <c r="I51" s="74" t="s">
        <v>584</v>
      </c>
    </row>
    <row r="52" ht="54" customHeight="1" spans="2:9">
      <c r="B52" s="63" t="s">
        <v>585</v>
      </c>
      <c r="C52" s="81" t="s">
        <v>297</v>
      </c>
      <c r="D52" s="81" t="s">
        <v>252</v>
      </c>
      <c r="E52" s="81" t="s">
        <v>567</v>
      </c>
      <c r="F52" s="82" t="s">
        <v>12</v>
      </c>
      <c r="G52" s="83" t="s">
        <v>469</v>
      </c>
      <c r="H52" s="84" t="s">
        <v>586</v>
      </c>
      <c r="I52" s="85" t="s">
        <v>587</v>
      </c>
    </row>
    <row r="53" ht="72" customHeight="1" spans="2:9">
      <c r="B53" s="86" t="s">
        <v>588</v>
      </c>
      <c r="C53" s="87" t="s">
        <v>263</v>
      </c>
      <c r="D53" s="80" t="s">
        <v>480</v>
      </c>
      <c r="E53" s="87" t="s">
        <v>567</v>
      </c>
      <c r="F53" s="88" t="s">
        <v>12</v>
      </c>
      <c r="G53" s="80" t="s">
        <v>428</v>
      </c>
      <c r="H53" s="89" t="s">
        <v>589</v>
      </c>
      <c r="I53" s="90" t="s">
        <v>590</v>
      </c>
    </row>
    <row r="54" ht="72" customHeight="1" spans="2:9">
      <c r="B54" s="63" t="s">
        <v>591</v>
      </c>
      <c r="C54" s="81" t="s">
        <v>297</v>
      </c>
      <c r="D54" s="81" t="s">
        <v>252</v>
      </c>
      <c r="E54" s="81" t="s">
        <v>567</v>
      </c>
      <c r="F54" s="82" t="s">
        <v>12</v>
      </c>
      <c r="G54" s="83" t="s">
        <v>432</v>
      </c>
      <c r="H54" s="84" t="s">
        <v>592</v>
      </c>
      <c r="I54" s="85" t="s">
        <v>593</v>
      </c>
    </row>
    <row r="55" ht="36" customHeight="1" spans="2:9">
      <c r="B55" s="86" t="s">
        <v>594</v>
      </c>
      <c r="C55" s="87" t="s">
        <v>373</v>
      </c>
      <c r="D55" s="87" t="s">
        <v>252</v>
      </c>
      <c r="E55" s="87" t="s">
        <v>567</v>
      </c>
      <c r="F55" s="88" t="s">
        <v>12</v>
      </c>
      <c r="G55" s="80" t="s">
        <v>469</v>
      </c>
      <c r="H55" s="89" t="s">
        <v>595</v>
      </c>
      <c r="I55" s="90" t="s">
        <v>596</v>
      </c>
    </row>
    <row r="56" ht="90" customHeight="1" spans="2:9">
      <c r="B56" s="63" t="s">
        <v>597</v>
      </c>
      <c r="C56" s="81" t="s">
        <v>263</v>
      </c>
      <c r="D56" s="81" t="s">
        <v>252</v>
      </c>
      <c r="E56" s="81" t="s">
        <v>567</v>
      </c>
      <c r="F56" s="82" t="s">
        <v>12</v>
      </c>
      <c r="G56" s="83" t="s">
        <v>428</v>
      </c>
      <c r="H56" s="84" t="s">
        <v>598</v>
      </c>
      <c r="I56" s="85" t="s">
        <v>599</v>
      </c>
    </row>
    <row r="57" ht="36" customHeight="1" spans="2:9">
      <c r="B57" s="86" t="s">
        <v>600</v>
      </c>
      <c r="C57" s="87" t="s">
        <v>297</v>
      </c>
      <c r="D57" s="87" t="s">
        <v>252</v>
      </c>
      <c r="E57" s="87" t="s">
        <v>567</v>
      </c>
      <c r="F57" s="88" t="s">
        <v>12</v>
      </c>
      <c r="G57" s="80" t="s">
        <v>481</v>
      </c>
      <c r="H57" s="89" t="s">
        <v>601</v>
      </c>
      <c r="I57" s="90" t="s">
        <v>602</v>
      </c>
    </row>
    <row r="58" ht="36" customHeight="1" spans="2:9">
      <c r="B58" s="63" t="s">
        <v>603</v>
      </c>
      <c r="C58" s="81" t="s">
        <v>297</v>
      </c>
      <c r="D58" s="81" t="s">
        <v>252</v>
      </c>
      <c r="E58" s="81" t="s">
        <v>567</v>
      </c>
      <c r="F58" s="82" t="s">
        <v>12</v>
      </c>
      <c r="G58" s="83" t="s">
        <v>432</v>
      </c>
      <c r="H58" s="84" t="s">
        <v>604</v>
      </c>
      <c r="I58" s="85" t="s">
        <v>605</v>
      </c>
    </row>
    <row r="59" ht="36" customHeight="1" spans="2:9">
      <c r="B59" s="86" t="s">
        <v>606</v>
      </c>
      <c r="C59" s="87" t="s">
        <v>256</v>
      </c>
      <c r="D59" s="87" t="s">
        <v>252</v>
      </c>
      <c r="E59" s="87" t="s">
        <v>567</v>
      </c>
      <c r="F59" s="88" t="s">
        <v>12</v>
      </c>
      <c r="G59" s="80" t="s">
        <v>428</v>
      </c>
      <c r="H59" s="89" t="s">
        <v>607</v>
      </c>
      <c r="I59" s="90" t="s">
        <v>608</v>
      </c>
    </row>
    <row r="60" ht="36" customHeight="1" spans="2:9">
      <c r="B60" s="63" t="s">
        <v>609</v>
      </c>
      <c r="C60" s="81" t="s">
        <v>263</v>
      </c>
      <c r="D60" s="81" t="s">
        <v>252</v>
      </c>
      <c r="E60" s="81" t="s">
        <v>567</v>
      </c>
      <c r="F60" s="82" t="s">
        <v>12</v>
      </c>
      <c r="G60" s="83" t="s">
        <v>428</v>
      </c>
      <c r="H60" s="84" t="s">
        <v>610</v>
      </c>
      <c r="I60" s="85" t="s">
        <v>611</v>
      </c>
    </row>
    <row r="61" ht="36" customHeight="1" spans="2:9">
      <c r="B61" s="86" t="s">
        <v>612</v>
      </c>
      <c r="C61" s="87" t="s">
        <v>263</v>
      </c>
      <c r="D61" s="87" t="s">
        <v>426</v>
      </c>
      <c r="E61" s="87" t="s">
        <v>567</v>
      </c>
      <c r="F61" s="88" t="s">
        <v>12</v>
      </c>
      <c r="G61" s="80" t="s">
        <v>428</v>
      </c>
      <c r="H61" s="89" t="s">
        <v>613</v>
      </c>
      <c r="I61" s="90" t="s">
        <v>614</v>
      </c>
    </row>
    <row r="62" ht="36" customHeight="1" spans="2:9">
      <c r="B62" s="63" t="s">
        <v>615</v>
      </c>
      <c r="C62" s="81" t="s">
        <v>256</v>
      </c>
      <c r="D62" s="81" t="s">
        <v>252</v>
      </c>
      <c r="E62" s="81" t="s">
        <v>567</v>
      </c>
      <c r="F62" s="82" t="s">
        <v>12</v>
      </c>
      <c r="G62" s="83" t="s">
        <v>428</v>
      </c>
      <c r="H62" s="84" t="s">
        <v>616</v>
      </c>
      <c r="I62" s="85" t="s">
        <v>617</v>
      </c>
    </row>
    <row r="63" ht="36" customHeight="1" spans="2:9">
      <c r="B63" s="86" t="s">
        <v>618</v>
      </c>
      <c r="C63" s="87" t="s">
        <v>256</v>
      </c>
      <c r="D63" s="87" t="s">
        <v>426</v>
      </c>
      <c r="E63" s="87" t="s">
        <v>567</v>
      </c>
      <c r="F63" s="88" t="s">
        <v>12</v>
      </c>
      <c r="G63" s="80" t="s">
        <v>428</v>
      </c>
      <c r="H63" s="89" t="s">
        <v>619</v>
      </c>
      <c r="I63" s="90" t="s">
        <v>620</v>
      </c>
    </row>
    <row r="64" ht="36" customHeight="1" spans="2:9">
      <c r="B64" s="63" t="s">
        <v>621</v>
      </c>
      <c r="C64" s="81" t="s">
        <v>263</v>
      </c>
      <c r="D64" s="81" t="s">
        <v>439</v>
      </c>
      <c r="E64" s="81" t="s">
        <v>567</v>
      </c>
      <c r="F64" s="82" t="s">
        <v>12</v>
      </c>
      <c r="G64" s="83" t="s">
        <v>428</v>
      </c>
      <c r="H64" s="84" t="s">
        <v>622</v>
      </c>
      <c r="I64" s="85" t="s">
        <v>623</v>
      </c>
    </row>
    <row r="65" ht="36" customHeight="1" spans="2:9">
      <c r="B65" s="86" t="s">
        <v>624</v>
      </c>
      <c r="C65" s="87" t="s">
        <v>256</v>
      </c>
      <c r="D65" s="87" t="s">
        <v>439</v>
      </c>
      <c r="E65" s="87" t="s">
        <v>567</v>
      </c>
      <c r="F65" s="88" t="s">
        <v>12</v>
      </c>
      <c r="G65" s="80" t="s">
        <v>428</v>
      </c>
      <c r="H65" s="89" t="s">
        <v>625</v>
      </c>
      <c r="I65" s="90" t="s">
        <v>626</v>
      </c>
    </row>
    <row r="66" ht="36" customHeight="1" spans="2:9">
      <c r="B66" s="63" t="s">
        <v>627</v>
      </c>
      <c r="C66" s="81" t="s">
        <v>256</v>
      </c>
      <c r="D66" s="81" t="s">
        <v>439</v>
      </c>
      <c r="E66" s="81" t="s">
        <v>567</v>
      </c>
      <c r="F66" s="82" t="s">
        <v>12</v>
      </c>
      <c r="G66" s="83" t="s">
        <v>428</v>
      </c>
      <c r="H66" s="84" t="s">
        <v>628</v>
      </c>
      <c r="I66" s="85" t="s">
        <v>629</v>
      </c>
    </row>
    <row r="67" ht="36" customHeight="1" spans="2:9">
      <c r="B67" s="86" t="s">
        <v>630</v>
      </c>
      <c r="C67" s="87" t="s">
        <v>297</v>
      </c>
      <c r="D67" s="87" t="s">
        <v>252</v>
      </c>
      <c r="E67" s="87" t="s">
        <v>567</v>
      </c>
      <c r="F67" s="88" t="s">
        <v>12</v>
      </c>
      <c r="G67" s="80" t="s">
        <v>481</v>
      </c>
      <c r="H67" s="89" t="s">
        <v>631</v>
      </c>
      <c r="I67" s="90" t="s">
        <v>632</v>
      </c>
    </row>
    <row r="68" ht="36" customHeight="1" spans="2:9">
      <c r="B68" s="63" t="s">
        <v>633</v>
      </c>
      <c r="C68" s="83" t="s">
        <v>450</v>
      </c>
      <c r="D68" s="81" t="s">
        <v>252</v>
      </c>
      <c r="E68" s="81" t="s">
        <v>567</v>
      </c>
      <c r="F68" s="82" t="s">
        <v>12</v>
      </c>
      <c r="G68" s="83" t="s">
        <v>428</v>
      </c>
      <c r="H68" s="84" t="s">
        <v>634</v>
      </c>
      <c r="I68" s="85" t="s">
        <v>635</v>
      </c>
    </row>
    <row r="69" ht="54" customHeight="1" spans="2:9">
      <c r="B69" s="86" t="s">
        <v>636</v>
      </c>
      <c r="C69" s="87" t="s">
        <v>263</v>
      </c>
      <c r="D69" s="87" t="s">
        <v>426</v>
      </c>
      <c r="E69" s="87" t="s">
        <v>567</v>
      </c>
      <c r="F69" s="88" t="s">
        <v>12</v>
      </c>
      <c r="G69" s="80" t="s">
        <v>481</v>
      </c>
      <c r="H69" s="89" t="s">
        <v>637</v>
      </c>
      <c r="I69" s="90" t="s">
        <v>638</v>
      </c>
    </row>
    <row r="70" ht="36" customHeight="1" spans="2:9">
      <c r="B70" s="63" t="s">
        <v>639</v>
      </c>
      <c r="C70" s="81" t="s">
        <v>263</v>
      </c>
      <c r="D70" s="81" t="s">
        <v>439</v>
      </c>
      <c r="E70" s="81" t="s">
        <v>567</v>
      </c>
      <c r="F70" s="82" t="s">
        <v>12</v>
      </c>
      <c r="G70" s="83" t="s">
        <v>428</v>
      </c>
      <c r="H70" s="84" t="s">
        <v>640</v>
      </c>
      <c r="I70" s="85" t="s">
        <v>641</v>
      </c>
    </row>
    <row r="71" ht="36" customHeight="1" spans="2:9">
      <c r="B71" s="86" t="s">
        <v>642</v>
      </c>
      <c r="C71" s="87" t="s">
        <v>263</v>
      </c>
      <c r="D71" s="87" t="s">
        <v>252</v>
      </c>
      <c r="E71" s="87" t="s">
        <v>567</v>
      </c>
      <c r="F71" s="88" t="s">
        <v>12</v>
      </c>
      <c r="G71" s="80" t="s">
        <v>469</v>
      </c>
      <c r="H71" s="89" t="s">
        <v>643</v>
      </c>
      <c r="I71" s="90" t="s">
        <v>644</v>
      </c>
    </row>
    <row r="72" ht="36" customHeight="1" spans="2:9">
      <c r="B72" s="63" t="s">
        <v>645</v>
      </c>
      <c r="C72" s="81" t="s">
        <v>263</v>
      </c>
      <c r="D72" s="81" t="s">
        <v>426</v>
      </c>
      <c r="E72" s="81" t="s">
        <v>567</v>
      </c>
      <c r="F72" s="82" t="s">
        <v>12</v>
      </c>
      <c r="G72" s="83" t="s">
        <v>428</v>
      </c>
      <c r="H72" s="84" t="s">
        <v>646</v>
      </c>
      <c r="I72" s="85" t="s">
        <v>647</v>
      </c>
    </row>
    <row r="73" ht="36" customHeight="1" spans="2:9">
      <c r="B73" s="86" t="s">
        <v>648</v>
      </c>
      <c r="C73" s="87" t="s">
        <v>263</v>
      </c>
      <c r="D73" s="87" t="s">
        <v>649</v>
      </c>
      <c r="E73" s="87" t="s">
        <v>567</v>
      </c>
      <c r="F73" s="88" t="s">
        <v>12</v>
      </c>
      <c r="G73" s="80" t="s">
        <v>428</v>
      </c>
      <c r="H73" s="89" t="s">
        <v>650</v>
      </c>
      <c r="I73" s="90" t="s">
        <v>651</v>
      </c>
    </row>
    <row r="74" ht="36" customHeight="1" spans="2:9">
      <c r="B74" s="63" t="s">
        <v>652</v>
      </c>
      <c r="C74" s="81" t="s">
        <v>297</v>
      </c>
      <c r="D74" s="81" t="s">
        <v>252</v>
      </c>
      <c r="E74" s="81" t="s">
        <v>567</v>
      </c>
      <c r="F74" s="82" t="s">
        <v>5</v>
      </c>
      <c r="G74" s="83" t="s">
        <v>481</v>
      </c>
      <c r="H74" s="84" t="s">
        <v>653</v>
      </c>
      <c r="I74" s="85" t="s">
        <v>654</v>
      </c>
    </row>
    <row r="75" ht="118" customHeight="1" spans="2:9">
      <c r="B75" s="86" t="s">
        <v>655</v>
      </c>
      <c r="C75" s="87" t="s">
        <v>256</v>
      </c>
      <c r="D75" s="87" t="s">
        <v>252</v>
      </c>
      <c r="E75" s="87" t="s">
        <v>567</v>
      </c>
      <c r="F75" s="88" t="s">
        <v>5</v>
      </c>
      <c r="G75" s="80" t="s">
        <v>469</v>
      </c>
      <c r="H75" s="89" t="s">
        <v>656</v>
      </c>
      <c r="I75" s="90" t="s">
        <v>657</v>
      </c>
    </row>
    <row r="76" ht="36" customHeight="1" spans="2:9">
      <c r="B76" s="63" t="s">
        <v>658</v>
      </c>
      <c r="C76" s="81" t="s">
        <v>659</v>
      </c>
      <c r="D76" s="81" t="s">
        <v>426</v>
      </c>
      <c r="E76" s="81" t="s">
        <v>567</v>
      </c>
      <c r="F76" s="82" t="s">
        <v>5</v>
      </c>
      <c r="G76" s="83" t="s">
        <v>428</v>
      </c>
      <c r="H76" s="84" t="s">
        <v>660</v>
      </c>
      <c r="I76" s="85" t="s">
        <v>661</v>
      </c>
    </row>
    <row r="77" ht="72" customHeight="1" spans="2:9">
      <c r="B77" s="86" t="s">
        <v>662</v>
      </c>
      <c r="C77" s="87" t="s">
        <v>256</v>
      </c>
      <c r="D77" s="87" t="s">
        <v>252</v>
      </c>
      <c r="E77" s="87" t="s">
        <v>567</v>
      </c>
      <c r="F77" s="88" t="s">
        <v>5</v>
      </c>
      <c r="G77" s="80" t="s">
        <v>469</v>
      </c>
      <c r="H77" s="89" t="s">
        <v>663</v>
      </c>
      <c r="I77" s="90" t="s">
        <v>664</v>
      </c>
    </row>
    <row r="78" ht="36" customHeight="1" spans="2:9">
      <c r="B78" s="63" t="s">
        <v>665</v>
      </c>
      <c r="C78" s="83" t="s">
        <v>450</v>
      </c>
      <c r="D78" s="81" t="s">
        <v>426</v>
      </c>
      <c r="E78" s="81" t="s">
        <v>567</v>
      </c>
      <c r="F78" s="82" t="s">
        <v>5</v>
      </c>
      <c r="G78" s="83" t="s">
        <v>428</v>
      </c>
      <c r="H78" s="84" t="s">
        <v>666</v>
      </c>
      <c r="I78" s="85" t="s">
        <v>667</v>
      </c>
    </row>
    <row r="79" ht="54" customHeight="1" spans="2:9">
      <c r="B79" s="86" t="s">
        <v>668</v>
      </c>
      <c r="C79" s="87" t="s">
        <v>256</v>
      </c>
      <c r="D79" s="87" t="s">
        <v>426</v>
      </c>
      <c r="E79" s="87" t="s">
        <v>567</v>
      </c>
      <c r="F79" s="88" t="s">
        <v>5</v>
      </c>
      <c r="G79" s="80" t="s">
        <v>428</v>
      </c>
      <c r="H79" s="89" t="s">
        <v>669</v>
      </c>
      <c r="I79" s="90" t="s">
        <v>670</v>
      </c>
    </row>
    <row r="80" ht="126" customHeight="1" spans="2:9">
      <c r="B80" s="63" t="s">
        <v>671</v>
      </c>
      <c r="C80" s="81" t="s">
        <v>263</v>
      </c>
      <c r="D80" s="81" t="s">
        <v>426</v>
      </c>
      <c r="E80" s="81" t="s">
        <v>567</v>
      </c>
      <c r="F80" s="82" t="s">
        <v>5</v>
      </c>
      <c r="G80" s="83" t="s">
        <v>428</v>
      </c>
      <c r="H80" s="84" t="s">
        <v>672</v>
      </c>
      <c r="I80" s="85" t="s">
        <v>673</v>
      </c>
    </row>
    <row r="81" ht="36" customHeight="1" spans="2:9">
      <c r="B81" s="86" t="s">
        <v>674</v>
      </c>
      <c r="C81" s="87" t="s">
        <v>256</v>
      </c>
      <c r="D81" s="87" t="s">
        <v>426</v>
      </c>
      <c r="E81" s="87" t="s">
        <v>567</v>
      </c>
      <c r="F81" s="88" t="s">
        <v>5</v>
      </c>
      <c r="G81" s="80" t="s">
        <v>428</v>
      </c>
      <c r="H81" s="89" t="s">
        <v>675</v>
      </c>
      <c r="I81" s="90" t="s">
        <v>676</v>
      </c>
    </row>
    <row r="82" ht="36" customHeight="1" spans="2:9">
      <c r="B82" s="63" t="s">
        <v>677</v>
      </c>
      <c r="C82" s="81" t="s">
        <v>297</v>
      </c>
      <c r="D82" s="81" t="s">
        <v>252</v>
      </c>
      <c r="E82" s="81" t="s">
        <v>567</v>
      </c>
      <c r="F82" s="82" t="s">
        <v>5</v>
      </c>
      <c r="G82" s="83" t="s">
        <v>432</v>
      </c>
      <c r="H82" s="84" t="s">
        <v>678</v>
      </c>
      <c r="I82" s="85" t="s">
        <v>679</v>
      </c>
    </row>
    <row r="83" ht="36" customHeight="1" spans="2:9">
      <c r="B83" s="86" t="s">
        <v>680</v>
      </c>
      <c r="C83" s="87" t="s">
        <v>256</v>
      </c>
      <c r="D83" s="87" t="s">
        <v>252</v>
      </c>
      <c r="E83" s="87" t="s">
        <v>567</v>
      </c>
      <c r="F83" s="88" t="s">
        <v>5</v>
      </c>
      <c r="G83" s="80" t="s">
        <v>428</v>
      </c>
      <c r="H83" s="89" t="s">
        <v>681</v>
      </c>
      <c r="I83" s="90" t="s">
        <v>682</v>
      </c>
    </row>
    <row r="84" ht="54" customHeight="1" spans="2:9">
      <c r="B84" s="63" t="s">
        <v>683</v>
      </c>
      <c r="C84" s="81" t="s">
        <v>256</v>
      </c>
      <c r="D84" s="81" t="s">
        <v>252</v>
      </c>
      <c r="E84" s="81" t="s">
        <v>567</v>
      </c>
      <c r="F84" s="82" t="s">
        <v>5</v>
      </c>
      <c r="G84" s="83" t="s">
        <v>481</v>
      </c>
      <c r="H84" s="84" t="s">
        <v>684</v>
      </c>
      <c r="I84" s="85" t="s">
        <v>685</v>
      </c>
    </row>
    <row r="85" ht="36" customHeight="1" spans="2:9">
      <c r="B85" s="86" t="s">
        <v>686</v>
      </c>
      <c r="C85" s="87" t="s">
        <v>256</v>
      </c>
      <c r="D85" s="87" t="s">
        <v>426</v>
      </c>
      <c r="E85" s="87" t="s">
        <v>687</v>
      </c>
      <c r="F85" s="88" t="s">
        <v>12</v>
      </c>
      <c r="G85" s="80" t="s">
        <v>428</v>
      </c>
      <c r="H85" s="89" t="s">
        <v>688</v>
      </c>
      <c r="I85" s="90" t="s">
        <v>689</v>
      </c>
    </row>
    <row r="86" ht="36" customHeight="1" spans="2:9">
      <c r="B86" s="63" t="s">
        <v>690</v>
      </c>
      <c r="C86" s="81" t="s">
        <v>263</v>
      </c>
      <c r="D86" s="81" t="s">
        <v>426</v>
      </c>
      <c r="E86" s="81" t="s">
        <v>687</v>
      </c>
      <c r="F86" s="82" t="s">
        <v>12</v>
      </c>
      <c r="G86" s="83" t="s">
        <v>428</v>
      </c>
      <c r="H86" s="84" t="s">
        <v>691</v>
      </c>
      <c r="I86" s="85" t="s">
        <v>692</v>
      </c>
    </row>
    <row r="87" ht="54" customHeight="1" spans="2:9">
      <c r="B87" s="86" t="s">
        <v>693</v>
      </c>
      <c r="C87" s="87" t="s">
        <v>297</v>
      </c>
      <c r="D87" s="87" t="s">
        <v>426</v>
      </c>
      <c r="E87" s="87" t="s">
        <v>687</v>
      </c>
      <c r="F87" s="88" t="s">
        <v>12</v>
      </c>
      <c r="G87" s="80" t="s">
        <v>428</v>
      </c>
      <c r="H87" s="89" t="s">
        <v>694</v>
      </c>
      <c r="I87" s="90" t="s">
        <v>695</v>
      </c>
    </row>
    <row r="88" ht="54" customHeight="1" spans="2:9">
      <c r="B88" s="63" t="s">
        <v>696</v>
      </c>
      <c r="C88" s="81" t="s">
        <v>373</v>
      </c>
      <c r="D88" s="81" t="s">
        <v>426</v>
      </c>
      <c r="E88" s="81" t="s">
        <v>687</v>
      </c>
      <c r="F88" s="82" t="s">
        <v>12</v>
      </c>
      <c r="G88" s="83" t="s">
        <v>428</v>
      </c>
      <c r="H88" s="84" t="s">
        <v>697</v>
      </c>
      <c r="I88" s="85" t="s">
        <v>698</v>
      </c>
    </row>
    <row r="89" ht="36" customHeight="1" spans="2:9">
      <c r="B89" s="86" t="s">
        <v>699</v>
      </c>
      <c r="C89" s="87" t="s">
        <v>373</v>
      </c>
      <c r="D89" s="87" t="s">
        <v>426</v>
      </c>
      <c r="E89" s="87" t="s">
        <v>687</v>
      </c>
      <c r="F89" s="88" t="s">
        <v>12</v>
      </c>
      <c r="G89" s="80" t="s">
        <v>428</v>
      </c>
      <c r="H89" s="89" t="s">
        <v>700</v>
      </c>
      <c r="I89" s="90" t="s">
        <v>701</v>
      </c>
    </row>
    <row r="90" ht="36" customHeight="1" spans="2:9">
      <c r="B90" s="63" t="s">
        <v>702</v>
      </c>
      <c r="C90" s="81" t="s">
        <v>263</v>
      </c>
      <c r="D90" s="81" t="s">
        <v>426</v>
      </c>
      <c r="E90" s="81" t="s">
        <v>687</v>
      </c>
      <c r="F90" s="82" t="s">
        <v>12</v>
      </c>
      <c r="G90" s="83" t="s">
        <v>428</v>
      </c>
      <c r="H90" s="84" t="s">
        <v>703</v>
      </c>
      <c r="I90" s="85" t="s">
        <v>704</v>
      </c>
    </row>
    <row r="91" ht="36" customHeight="1" spans="2:9">
      <c r="B91" s="86" t="s">
        <v>705</v>
      </c>
      <c r="C91" s="87" t="s">
        <v>263</v>
      </c>
      <c r="D91" s="87" t="s">
        <v>426</v>
      </c>
      <c r="E91" s="87" t="s">
        <v>687</v>
      </c>
      <c r="F91" s="88" t="s">
        <v>12</v>
      </c>
      <c r="G91" s="80" t="s">
        <v>428</v>
      </c>
      <c r="H91" s="89" t="s">
        <v>706</v>
      </c>
      <c r="I91" s="90" t="s">
        <v>707</v>
      </c>
    </row>
    <row r="92" ht="36" customHeight="1" spans="2:9">
      <c r="B92" s="63" t="s">
        <v>708</v>
      </c>
      <c r="C92" s="81" t="s">
        <v>256</v>
      </c>
      <c r="D92" s="81" t="s">
        <v>426</v>
      </c>
      <c r="E92" s="81" t="s">
        <v>687</v>
      </c>
      <c r="F92" s="82" t="s">
        <v>12</v>
      </c>
      <c r="G92" s="83" t="s">
        <v>428</v>
      </c>
      <c r="H92" s="84" t="s">
        <v>709</v>
      </c>
      <c r="I92" s="85" t="s">
        <v>710</v>
      </c>
    </row>
    <row r="93" ht="72" customHeight="1" spans="2:9">
      <c r="B93" s="86" t="s">
        <v>711</v>
      </c>
      <c r="C93" s="80" t="s">
        <v>450</v>
      </c>
      <c r="D93" s="87" t="s">
        <v>252</v>
      </c>
      <c r="E93" s="87" t="s">
        <v>687</v>
      </c>
      <c r="F93" s="88" t="s">
        <v>12</v>
      </c>
      <c r="G93" s="80" t="s">
        <v>428</v>
      </c>
      <c r="H93" s="89" t="s">
        <v>712</v>
      </c>
      <c r="I93" s="90" t="s">
        <v>713</v>
      </c>
    </row>
    <row r="94" ht="36" customHeight="1" spans="2:9">
      <c r="B94" s="63" t="s">
        <v>714</v>
      </c>
      <c r="C94" s="81" t="s">
        <v>256</v>
      </c>
      <c r="D94" s="81" t="s">
        <v>252</v>
      </c>
      <c r="E94" s="81" t="s">
        <v>687</v>
      </c>
      <c r="F94" s="82" t="s">
        <v>12</v>
      </c>
      <c r="G94" s="83" t="s">
        <v>428</v>
      </c>
      <c r="H94" s="84" t="s">
        <v>715</v>
      </c>
      <c r="I94" s="85" t="s">
        <v>716</v>
      </c>
    </row>
    <row r="95" ht="36" customHeight="1" spans="2:9">
      <c r="B95" s="86" t="s">
        <v>717</v>
      </c>
      <c r="C95" s="87" t="s">
        <v>263</v>
      </c>
      <c r="D95" s="87" t="s">
        <v>252</v>
      </c>
      <c r="E95" s="87" t="s">
        <v>687</v>
      </c>
      <c r="F95" s="88" t="s">
        <v>12</v>
      </c>
      <c r="G95" s="80" t="s">
        <v>428</v>
      </c>
      <c r="H95" s="89" t="s">
        <v>718</v>
      </c>
      <c r="I95" s="90" t="s">
        <v>719</v>
      </c>
    </row>
    <row r="96" ht="36" customHeight="1" spans="2:9">
      <c r="B96" s="63" t="s">
        <v>720</v>
      </c>
      <c r="C96" s="81" t="s">
        <v>297</v>
      </c>
      <c r="D96" s="81" t="s">
        <v>252</v>
      </c>
      <c r="E96" s="81" t="s">
        <v>687</v>
      </c>
      <c r="F96" s="82" t="s">
        <v>12</v>
      </c>
      <c r="G96" s="83" t="s">
        <v>428</v>
      </c>
      <c r="H96" s="84" t="s">
        <v>721</v>
      </c>
      <c r="I96" s="85" t="s">
        <v>722</v>
      </c>
    </row>
    <row r="97" ht="54" customHeight="1" spans="2:9">
      <c r="B97" s="86" t="s">
        <v>723</v>
      </c>
      <c r="C97" s="87" t="s">
        <v>263</v>
      </c>
      <c r="D97" s="87" t="s">
        <v>426</v>
      </c>
      <c r="E97" s="87" t="s">
        <v>687</v>
      </c>
      <c r="F97" s="88" t="s">
        <v>12</v>
      </c>
      <c r="G97" s="80" t="s">
        <v>428</v>
      </c>
      <c r="H97" s="89" t="s">
        <v>724</v>
      </c>
      <c r="I97" s="90" t="s">
        <v>725</v>
      </c>
    </row>
    <row r="98" ht="36" customHeight="1" spans="2:9">
      <c r="B98" s="63" t="s">
        <v>726</v>
      </c>
      <c r="C98" s="81" t="s">
        <v>407</v>
      </c>
      <c r="D98" s="81" t="s">
        <v>252</v>
      </c>
      <c r="E98" s="81" t="s">
        <v>687</v>
      </c>
      <c r="F98" s="82" t="s">
        <v>12</v>
      </c>
      <c r="G98" s="83" t="s">
        <v>432</v>
      </c>
      <c r="H98" s="84" t="s">
        <v>727</v>
      </c>
      <c r="I98" s="85" t="s">
        <v>728</v>
      </c>
    </row>
    <row r="99" ht="36" customHeight="1" spans="2:9">
      <c r="B99" s="86" t="s">
        <v>729</v>
      </c>
      <c r="C99" s="80" t="s">
        <v>450</v>
      </c>
      <c r="D99" s="87" t="s">
        <v>426</v>
      </c>
      <c r="E99" s="87" t="s">
        <v>687</v>
      </c>
      <c r="F99" s="88" t="s">
        <v>12</v>
      </c>
      <c r="G99" s="80" t="s">
        <v>428</v>
      </c>
      <c r="H99" s="89" t="s">
        <v>730</v>
      </c>
      <c r="I99" s="90" t="s">
        <v>731</v>
      </c>
    </row>
    <row r="100" ht="36" customHeight="1" spans="2:9">
      <c r="B100" s="63" t="s">
        <v>732</v>
      </c>
      <c r="C100" s="81" t="s">
        <v>733</v>
      </c>
      <c r="D100" s="81" t="s">
        <v>252</v>
      </c>
      <c r="E100" s="81" t="s">
        <v>687</v>
      </c>
      <c r="F100" s="82" t="s">
        <v>12</v>
      </c>
      <c r="G100" s="83" t="s">
        <v>432</v>
      </c>
      <c r="H100" s="84" t="s">
        <v>734</v>
      </c>
      <c r="I100" s="85" t="s">
        <v>735</v>
      </c>
    </row>
    <row r="101" ht="36" customHeight="1" spans="2:9">
      <c r="B101" s="86" t="s">
        <v>736</v>
      </c>
      <c r="C101" s="87" t="s">
        <v>297</v>
      </c>
      <c r="D101" s="87" t="s">
        <v>252</v>
      </c>
      <c r="E101" s="87" t="s">
        <v>687</v>
      </c>
      <c r="F101" s="88" t="s">
        <v>12</v>
      </c>
      <c r="G101" s="80" t="s">
        <v>432</v>
      </c>
      <c r="H101" s="89" t="s">
        <v>737</v>
      </c>
      <c r="I101" s="90" t="s">
        <v>738</v>
      </c>
    </row>
    <row r="102" ht="36" customHeight="1" spans="2:9">
      <c r="B102" s="63" t="s">
        <v>739</v>
      </c>
      <c r="C102" s="81" t="s">
        <v>373</v>
      </c>
      <c r="D102" s="81" t="s">
        <v>252</v>
      </c>
      <c r="E102" s="81" t="s">
        <v>687</v>
      </c>
      <c r="F102" s="82" t="s">
        <v>12</v>
      </c>
      <c r="G102" s="83" t="s">
        <v>469</v>
      </c>
      <c r="H102" s="84" t="s">
        <v>740</v>
      </c>
      <c r="I102" s="85" t="s">
        <v>741</v>
      </c>
    </row>
    <row r="103" ht="90" customHeight="1" spans="2:9">
      <c r="B103" s="86" t="s">
        <v>742</v>
      </c>
      <c r="C103" s="87" t="s">
        <v>373</v>
      </c>
      <c r="D103" s="87" t="s">
        <v>439</v>
      </c>
      <c r="E103" s="87" t="s">
        <v>687</v>
      </c>
      <c r="F103" s="88" t="s">
        <v>12</v>
      </c>
      <c r="G103" s="80" t="s">
        <v>428</v>
      </c>
      <c r="H103" s="89" t="s">
        <v>743</v>
      </c>
      <c r="I103" s="90" t="s">
        <v>744</v>
      </c>
    </row>
    <row r="104" ht="36" customHeight="1" spans="2:9">
      <c r="B104" s="63" t="s">
        <v>745</v>
      </c>
      <c r="C104" s="81" t="s">
        <v>256</v>
      </c>
      <c r="D104" s="81" t="s">
        <v>426</v>
      </c>
      <c r="E104" s="81" t="s">
        <v>687</v>
      </c>
      <c r="F104" s="82" t="s">
        <v>5</v>
      </c>
      <c r="G104" s="83" t="s">
        <v>428</v>
      </c>
      <c r="H104" s="84" t="s">
        <v>746</v>
      </c>
      <c r="I104" s="85" t="s">
        <v>747</v>
      </c>
    </row>
    <row r="105" ht="36" customHeight="1" spans="2:9">
      <c r="B105" s="86" t="s">
        <v>748</v>
      </c>
      <c r="C105" s="87" t="s">
        <v>407</v>
      </c>
      <c r="D105" s="87" t="s">
        <v>426</v>
      </c>
      <c r="E105" s="87" t="s">
        <v>687</v>
      </c>
      <c r="F105" s="88" t="s">
        <v>5</v>
      </c>
      <c r="G105" s="80" t="s">
        <v>428</v>
      </c>
      <c r="H105" s="89" t="s">
        <v>749</v>
      </c>
      <c r="I105" s="90" t="s">
        <v>750</v>
      </c>
    </row>
    <row r="106" ht="54" customHeight="1" spans="2:9">
      <c r="B106" s="63" t="s">
        <v>751</v>
      </c>
      <c r="C106" s="81" t="s">
        <v>407</v>
      </c>
      <c r="D106" s="81" t="s">
        <v>426</v>
      </c>
      <c r="E106" s="81" t="s">
        <v>687</v>
      </c>
      <c r="F106" s="82" t="s">
        <v>5</v>
      </c>
      <c r="G106" s="83" t="s">
        <v>428</v>
      </c>
      <c r="H106" s="84" t="s">
        <v>752</v>
      </c>
      <c r="I106" s="85" t="s">
        <v>753</v>
      </c>
    </row>
    <row r="107" ht="72" customHeight="1" spans="2:9">
      <c r="B107" s="86" t="s">
        <v>754</v>
      </c>
      <c r="C107" s="87" t="s">
        <v>659</v>
      </c>
      <c r="D107" s="87" t="s">
        <v>426</v>
      </c>
      <c r="E107" s="87" t="s">
        <v>687</v>
      </c>
      <c r="F107" s="88" t="s">
        <v>5</v>
      </c>
      <c r="G107" s="80" t="s">
        <v>428</v>
      </c>
      <c r="H107" s="89" t="s">
        <v>755</v>
      </c>
      <c r="I107" s="90" t="s">
        <v>756</v>
      </c>
    </row>
    <row r="108" ht="54" customHeight="1" spans="2:9">
      <c r="B108" s="63" t="s">
        <v>757</v>
      </c>
      <c r="C108" s="81" t="s">
        <v>407</v>
      </c>
      <c r="D108" s="81" t="s">
        <v>426</v>
      </c>
      <c r="E108" s="81" t="s">
        <v>687</v>
      </c>
      <c r="F108" s="82" t="s">
        <v>5</v>
      </c>
      <c r="G108" s="83" t="s">
        <v>428</v>
      </c>
      <c r="H108" s="84" t="s">
        <v>758</v>
      </c>
      <c r="I108" s="85" t="s">
        <v>759</v>
      </c>
    </row>
    <row r="109" ht="36" customHeight="1" spans="2:9">
      <c r="B109" s="86" t="s">
        <v>760</v>
      </c>
      <c r="C109" s="87" t="s">
        <v>297</v>
      </c>
      <c r="D109" s="87" t="s">
        <v>426</v>
      </c>
      <c r="E109" s="87" t="s">
        <v>687</v>
      </c>
      <c r="F109" s="88" t="s">
        <v>5</v>
      </c>
      <c r="G109" s="80" t="s">
        <v>428</v>
      </c>
      <c r="H109" s="89" t="s">
        <v>761</v>
      </c>
      <c r="I109" s="90" t="s">
        <v>762</v>
      </c>
    </row>
    <row r="110" ht="54" customHeight="1" spans="2:9">
      <c r="B110" s="63" t="s">
        <v>763</v>
      </c>
      <c r="C110" s="81" t="s">
        <v>256</v>
      </c>
      <c r="D110" s="81" t="s">
        <v>426</v>
      </c>
      <c r="E110" s="81" t="s">
        <v>687</v>
      </c>
      <c r="F110" s="82" t="s">
        <v>5</v>
      </c>
      <c r="G110" s="83" t="s">
        <v>428</v>
      </c>
      <c r="H110" s="84" t="s">
        <v>764</v>
      </c>
      <c r="I110" s="85" t="s">
        <v>765</v>
      </c>
    </row>
    <row r="111" ht="36" customHeight="1" spans="2:9">
      <c r="B111" s="86" t="s">
        <v>766</v>
      </c>
      <c r="C111" s="87" t="s">
        <v>767</v>
      </c>
      <c r="D111" s="87" t="s">
        <v>426</v>
      </c>
      <c r="E111" s="87" t="s">
        <v>687</v>
      </c>
      <c r="F111" s="88" t="s">
        <v>5</v>
      </c>
      <c r="G111" s="80" t="s">
        <v>428</v>
      </c>
      <c r="H111" s="89" t="s">
        <v>768</v>
      </c>
      <c r="I111" s="90" t="s">
        <v>769</v>
      </c>
    </row>
    <row r="112" ht="36" customHeight="1" spans="2:9">
      <c r="B112" s="63" t="s">
        <v>770</v>
      </c>
      <c r="C112" s="81" t="s">
        <v>263</v>
      </c>
      <c r="D112" s="81" t="s">
        <v>426</v>
      </c>
      <c r="E112" s="81" t="s">
        <v>687</v>
      </c>
      <c r="F112" s="82" t="s">
        <v>5</v>
      </c>
      <c r="G112" s="83" t="s">
        <v>428</v>
      </c>
      <c r="H112" s="84" t="s">
        <v>771</v>
      </c>
      <c r="I112" s="85" t="s">
        <v>772</v>
      </c>
    </row>
    <row r="113" ht="54" customHeight="1" spans="2:9">
      <c r="B113" s="86" t="s">
        <v>773</v>
      </c>
      <c r="C113" s="87" t="s">
        <v>256</v>
      </c>
      <c r="D113" s="87" t="s">
        <v>426</v>
      </c>
      <c r="E113" s="87" t="s">
        <v>687</v>
      </c>
      <c r="F113" s="88" t="s">
        <v>5</v>
      </c>
      <c r="G113" s="80" t="s">
        <v>428</v>
      </c>
      <c r="H113" s="89" t="s">
        <v>774</v>
      </c>
      <c r="I113" s="90" t="s">
        <v>775</v>
      </c>
    </row>
    <row r="114" ht="54" customHeight="1" spans="2:9">
      <c r="B114" s="63" t="s">
        <v>776</v>
      </c>
      <c r="C114" s="81" t="s">
        <v>256</v>
      </c>
      <c r="D114" s="81" t="s">
        <v>426</v>
      </c>
      <c r="E114" s="81" t="s">
        <v>687</v>
      </c>
      <c r="F114" s="82" t="s">
        <v>5</v>
      </c>
      <c r="G114" s="83" t="s">
        <v>428</v>
      </c>
      <c r="H114" s="84" t="s">
        <v>777</v>
      </c>
      <c r="I114" s="85" t="s">
        <v>778</v>
      </c>
    </row>
    <row r="115" ht="108" customHeight="1" spans="2:9">
      <c r="B115" s="86" t="s">
        <v>779</v>
      </c>
      <c r="C115" s="87" t="s">
        <v>256</v>
      </c>
      <c r="D115" s="87" t="s">
        <v>252</v>
      </c>
      <c r="E115" s="87" t="s">
        <v>780</v>
      </c>
      <c r="F115" s="88" t="s">
        <v>12</v>
      </c>
      <c r="G115" s="80" t="s">
        <v>481</v>
      </c>
      <c r="H115" s="89" t="s">
        <v>781</v>
      </c>
      <c r="I115" s="90" t="s">
        <v>782</v>
      </c>
    </row>
    <row r="116" ht="108" customHeight="1" spans="2:9">
      <c r="B116" s="63" t="s">
        <v>783</v>
      </c>
      <c r="C116" s="81" t="s">
        <v>373</v>
      </c>
      <c r="D116" s="81" t="s">
        <v>426</v>
      </c>
      <c r="E116" s="81" t="s">
        <v>780</v>
      </c>
      <c r="F116" s="82" t="s">
        <v>12</v>
      </c>
      <c r="G116" s="83" t="s">
        <v>428</v>
      </c>
      <c r="H116" s="84" t="s">
        <v>784</v>
      </c>
      <c r="I116" s="85" t="s">
        <v>785</v>
      </c>
    </row>
    <row r="117" ht="126" customHeight="1" spans="2:9">
      <c r="B117" s="86" t="s">
        <v>786</v>
      </c>
      <c r="C117" s="87" t="s">
        <v>659</v>
      </c>
      <c r="D117" s="87" t="s">
        <v>426</v>
      </c>
      <c r="E117" s="87" t="s">
        <v>780</v>
      </c>
      <c r="F117" s="88" t="s">
        <v>12</v>
      </c>
      <c r="G117" s="80" t="s">
        <v>428</v>
      </c>
      <c r="H117" s="89" t="s">
        <v>787</v>
      </c>
      <c r="I117" s="90" t="s">
        <v>788</v>
      </c>
    </row>
    <row r="118" ht="54" customHeight="1" spans="2:9">
      <c r="B118" s="63" t="s">
        <v>789</v>
      </c>
      <c r="C118" s="81" t="s">
        <v>790</v>
      </c>
      <c r="D118" s="81" t="s">
        <v>252</v>
      </c>
      <c r="E118" s="81" t="s">
        <v>780</v>
      </c>
      <c r="F118" s="82" t="s">
        <v>12</v>
      </c>
      <c r="G118" s="83" t="s">
        <v>432</v>
      </c>
      <c r="H118" s="84" t="s">
        <v>791</v>
      </c>
      <c r="I118" s="85" t="s">
        <v>792</v>
      </c>
    </row>
    <row r="119" ht="72" customHeight="1" spans="2:9">
      <c r="B119" s="91" t="s">
        <v>793</v>
      </c>
      <c r="C119" s="87" t="s">
        <v>659</v>
      </c>
      <c r="D119" s="80" t="s">
        <v>794</v>
      </c>
      <c r="E119" s="87" t="s">
        <v>780</v>
      </c>
      <c r="F119" s="88" t="s">
        <v>12</v>
      </c>
      <c r="G119" s="80" t="s">
        <v>428</v>
      </c>
      <c r="H119" s="89" t="s">
        <v>795</v>
      </c>
      <c r="I119" s="90" t="s">
        <v>796</v>
      </c>
    </row>
    <row r="120" ht="90" customHeight="1" spans="2:9">
      <c r="B120" s="63" t="s">
        <v>797</v>
      </c>
      <c r="C120" s="81" t="s">
        <v>659</v>
      </c>
      <c r="D120" s="83" t="s">
        <v>794</v>
      </c>
      <c r="E120" s="81" t="s">
        <v>780</v>
      </c>
      <c r="F120" s="82" t="s">
        <v>12</v>
      </c>
      <c r="G120" s="83" t="s">
        <v>428</v>
      </c>
      <c r="H120" s="84" t="s">
        <v>798</v>
      </c>
      <c r="I120" s="85" t="s">
        <v>799</v>
      </c>
    </row>
    <row r="121" ht="126" customHeight="1" spans="2:9">
      <c r="B121" s="86" t="s">
        <v>800</v>
      </c>
      <c r="C121" s="87" t="s">
        <v>407</v>
      </c>
      <c r="D121" s="87" t="s">
        <v>426</v>
      </c>
      <c r="E121" s="87" t="s">
        <v>780</v>
      </c>
      <c r="F121" s="88" t="s">
        <v>12</v>
      </c>
      <c r="G121" s="80" t="s">
        <v>428</v>
      </c>
      <c r="H121" s="89" t="s">
        <v>801</v>
      </c>
      <c r="I121" s="90" t="s">
        <v>802</v>
      </c>
    </row>
    <row r="122" ht="126" customHeight="1" spans="2:9">
      <c r="B122" s="63" t="s">
        <v>803</v>
      </c>
      <c r="C122" s="81" t="s">
        <v>297</v>
      </c>
      <c r="D122" s="83" t="s">
        <v>804</v>
      </c>
      <c r="E122" s="81" t="s">
        <v>780</v>
      </c>
      <c r="F122" s="82" t="s">
        <v>12</v>
      </c>
      <c r="G122" s="83" t="s">
        <v>428</v>
      </c>
      <c r="H122" s="84" t="s">
        <v>805</v>
      </c>
      <c r="I122" s="85" t="s">
        <v>806</v>
      </c>
    </row>
    <row r="123" ht="90" customHeight="1" spans="2:9">
      <c r="B123" s="86" t="s">
        <v>807</v>
      </c>
      <c r="C123" s="87" t="s">
        <v>373</v>
      </c>
      <c r="D123" s="87" t="s">
        <v>252</v>
      </c>
      <c r="E123" s="87" t="s">
        <v>780</v>
      </c>
      <c r="F123" s="88" t="s">
        <v>12</v>
      </c>
      <c r="G123" s="80" t="s">
        <v>469</v>
      </c>
      <c r="H123" s="89" t="s">
        <v>808</v>
      </c>
      <c r="I123" s="90" t="s">
        <v>809</v>
      </c>
    </row>
    <row r="124" ht="90" customHeight="1" spans="2:9">
      <c r="B124" s="63" t="s">
        <v>810</v>
      </c>
      <c r="C124" s="81" t="s">
        <v>407</v>
      </c>
      <c r="D124" s="83" t="s">
        <v>794</v>
      </c>
      <c r="E124" s="81" t="s">
        <v>780</v>
      </c>
      <c r="F124" s="82" t="s">
        <v>12</v>
      </c>
      <c r="G124" s="83" t="s">
        <v>428</v>
      </c>
      <c r="H124" s="84" t="s">
        <v>811</v>
      </c>
      <c r="I124" s="85" t="s">
        <v>812</v>
      </c>
    </row>
    <row r="125" ht="126" customHeight="1" spans="2:9">
      <c r="B125" s="86" t="s">
        <v>813</v>
      </c>
      <c r="C125" s="87" t="s">
        <v>659</v>
      </c>
      <c r="D125" s="87" t="s">
        <v>426</v>
      </c>
      <c r="E125" s="87" t="s">
        <v>780</v>
      </c>
      <c r="F125" s="88" t="s">
        <v>12</v>
      </c>
      <c r="G125" s="80" t="s">
        <v>428</v>
      </c>
      <c r="H125" s="89" t="s">
        <v>814</v>
      </c>
      <c r="I125" s="90" t="s">
        <v>815</v>
      </c>
    </row>
    <row r="126" ht="90" customHeight="1" spans="2:9">
      <c r="B126" s="63" t="s">
        <v>816</v>
      </c>
      <c r="C126" s="81" t="s">
        <v>297</v>
      </c>
      <c r="D126" s="83" t="s">
        <v>817</v>
      </c>
      <c r="E126" s="81" t="s">
        <v>780</v>
      </c>
      <c r="F126" s="82" t="s">
        <v>12</v>
      </c>
      <c r="G126" s="83" t="s">
        <v>432</v>
      </c>
      <c r="H126" s="84" t="s">
        <v>818</v>
      </c>
      <c r="I126" s="85" t="s">
        <v>819</v>
      </c>
    </row>
    <row r="127" ht="108" customHeight="1" spans="2:9">
      <c r="B127" s="86" t="s">
        <v>820</v>
      </c>
      <c r="C127" s="87" t="s">
        <v>407</v>
      </c>
      <c r="D127" s="87" t="s">
        <v>426</v>
      </c>
      <c r="E127" s="87" t="s">
        <v>780</v>
      </c>
      <c r="F127" s="88" t="s">
        <v>5</v>
      </c>
      <c r="G127" s="80" t="s">
        <v>428</v>
      </c>
      <c r="H127" s="89" t="s">
        <v>821</v>
      </c>
      <c r="I127" s="90" t="s">
        <v>822</v>
      </c>
    </row>
    <row r="128" ht="216" customHeight="1" spans="2:9">
      <c r="B128" s="63" t="s">
        <v>823</v>
      </c>
      <c r="C128" s="81" t="s">
        <v>659</v>
      </c>
      <c r="D128" s="83" t="s">
        <v>804</v>
      </c>
      <c r="E128" s="81" t="s">
        <v>780</v>
      </c>
      <c r="F128" s="82" t="s">
        <v>5</v>
      </c>
      <c r="G128" s="83" t="s">
        <v>428</v>
      </c>
      <c r="H128" s="84" t="s">
        <v>824</v>
      </c>
      <c r="I128" s="85" t="s">
        <v>825</v>
      </c>
    </row>
    <row r="129" ht="36" customHeight="1" spans="2:9">
      <c r="B129" s="86" t="s">
        <v>826</v>
      </c>
      <c r="C129" s="87" t="s">
        <v>659</v>
      </c>
      <c r="D129" s="87" t="s">
        <v>252</v>
      </c>
      <c r="E129" s="87" t="s">
        <v>780</v>
      </c>
      <c r="F129" s="88" t="s">
        <v>5</v>
      </c>
      <c r="G129" s="80" t="s">
        <v>428</v>
      </c>
      <c r="H129" s="89" t="s">
        <v>827</v>
      </c>
      <c r="I129" s="90" t="s">
        <v>828</v>
      </c>
    </row>
    <row r="130" ht="108" customHeight="1" spans="2:9">
      <c r="B130" s="63" t="s">
        <v>829</v>
      </c>
      <c r="C130" s="81" t="s">
        <v>790</v>
      </c>
      <c r="D130" s="81" t="s">
        <v>439</v>
      </c>
      <c r="E130" s="81" t="s">
        <v>780</v>
      </c>
      <c r="F130" s="82" t="s">
        <v>5</v>
      </c>
      <c r="G130" s="83" t="s">
        <v>428</v>
      </c>
      <c r="H130" s="84" t="s">
        <v>830</v>
      </c>
      <c r="I130" s="85" t="s">
        <v>831</v>
      </c>
    </row>
    <row r="131" ht="126" customHeight="1" spans="2:9">
      <c r="B131" s="86" t="s">
        <v>832</v>
      </c>
      <c r="C131" s="87" t="s">
        <v>659</v>
      </c>
      <c r="D131" s="87" t="s">
        <v>426</v>
      </c>
      <c r="E131" s="87" t="s">
        <v>780</v>
      </c>
      <c r="F131" s="88" t="s">
        <v>5</v>
      </c>
      <c r="G131" s="80" t="s">
        <v>428</v>
      </c>
      <c r="H131" s="89" t="s">
        <v>833</v>
      </c>
      <c r="I131" s="90" t="s">
        <v>834</v>
      </c>
    </row>
    <row r="132" ht="90" customHeight="1" spans="2:9">
      <c r="B132" s="92" t="s">
        <v>835</v>
      </c>
      <c r="C132" s="93" t="s">
        <v>790</v>
      </c>
      <c r="D132" s="93" t="s">
        <v>252</v>
      </c>
      <c r="E132" s="93" t="s">
        <v>780</v>
      </c>
      <c r="F132" s="94" t="s">
        <v>5</v>
      </c>
      <c r="G132" s="95" t="s">
        <v>428</v>
      </c>
      <c r="H132" s="96" t="s">
        <v>836</v>
      </c>
      <c r="I132" s="97" t="s">
        <v>837</v>
      </c>
    </row>
    <row r="133" customHeight="1" spans="2:9">
      <c r="B133" s="1" t="s">
        <v>16</v>
      </c>
      <c r="C133" s="1" t="s">
        <v>16</v>
      </c>
      <c r="D133" s="1" t="s">
        <v>16</v>
      </c>
      <c r="E133" s="1" t="s">
        <v>16</v>
      </c>
      <c r="F133" s="1" t="s">
        <v>16</v>
      </c>
      <c r="G133" s="1" t="s">
        <v>16</v>
      </c>
      <c r="H133" s="1" t="s">
        <v>16</v>
      </c>
      <c r="I133" s="1" t="s">
        <v>16</v>
      </c>
    </row>
  </sheetData>
  <sheetProtection sheet="1" objects="1"/>
  <mergeCells count="1">
    <mergeCell ref="B2:I2"/>
  </mergeCells>
  <dataValidations count="5">
    <dataValidation allowBlank="1" showInputMessage="1" showErrorMessage="1" sqref="G45"/>
    <dataValidation type="list" allowBlank="1" showInputMessage="1" showErrorMessage="1" sqref="E4:E6">
      <formula1>"基础,符箓,祷诀,凭术,阵法"</formula1>
    </dataValidation>
    <dataValidation type="list" allowBlank="1" showInputMessage="1" showErrorMessage="1" sqref="E7:E132">
      <formula1>"天生,符箓,祷诀,凭术,阵法"</formula1>
    </dataValidation>
    <dataValidation type="list" allowBlank="1" showInputMessage="1" showErrorMessage="1" sqref="F4:F132">
      <formula1>"☑,☐"</formula1>
    </dataValidation>
    <dataValidation type="list" allowBlank="1" showInputMessage="1" showErrorMessage="1" sqref="G4:G44 G46:G132">
      <formula1>"效果术法,攻击术法【体魄】,攻击术法【智慧】,攻击术法【心魂】"</formula1>
    </dataValidation>
  </dataValidation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V31"/>
  <sheetViews>
    <sheetView workbookViewId="0">
      <selection activeCell="B2" sqref="B2:C2"/>
    </sheetView>
  </sheetViews>
  <sheetFormatPr defaultColWidth="3.625" defaultRowHeight="18" customHeight="1"/>
  <cols>
    <col min="1" max="1" width="3.625" style="1" customWidth="1"/>
    <col min="2" max="2" width="9.625" style="1" customWidth="1"/>
    <col min="3" max="3" width="93.625" style="1" customWidth="1"/>
    <col min="4" max="16359" width="3.625" style="1" customWidth="1"/>
    <col min="16360" max="16384" width="3.625" style="1"/>
  </cols>
  <sheetData>
    <row r="1" customHeight="1" spans="2:22">
      <c r="E1" s="42"/>
      <c r="F1" s="42"/>
      <c r="G1" s="42"/>
      <c r="H1" s="42"/>
      <c r="I1" s="42"/>
      <c r="J1" s="42"/>
      <c r="K1" s="42"/>
      <c r="L1" s="42"/>
      <c r="M1" s="42"/>
      <c r="N1" s="42"/>
      <c r="O1" s="42"/>
      <c r="P1" s="42"/>
      <c r="Q1" s="42"/>
      <c r="R1" s="42"/>
      <c r="S1" s="42"/>
      <c r="T1" s="42"/>
      <c r="U1" s="42"/>
      <c r="V1" s="42"/>
    </row>
    <row r="2" ht="36" customHeight="1" spans="2:22">
      <c r="B2" s="34" t="s">
        <v>838</v>
      </c>
      <c r="C2" s="35"/>
      <c r="E2" s="42"/>
      <c r="F2" s="42"/>
      <c r="G2" s="42"/>
      <c r="H2" s="42"/>
      <c r="I2" s="42"/>
      <c r="J2" s="42"/>
      <c r="K2" s="42"/>
      <c r="L2" s="42"/>
      <c r="M2" s="42"/>
      <c r="N2" s="42"/>
      <c r="O2" s="42"/>
      <c r="P2" s="42"/>
      <c r="Q2" s="42"/>
      <c r="R2" s="42"/>
      <c r="S2" s="42"/>
      <c r="T2" s="42"/>
      <c r="U2" s="42"/>
      <c r="V2" s="42"/>
    </row>
    <row r="3" ht="36" customHeight="1" spans="2:22">
      <c r="B3" s="39" t="s">
        <v>839</v>
      </c>
      <c r="C3" s="40" t="s">
        <v>75</v>
      </c>
      <c r="E3" s="42"/>
      <c r="F3" s="42"/>
      <c r="G3" s="42"/>
      <c r="H3" s="42"/>
      <c r="I3" s="42"/>
      <c r="J3" s="42"/>
      <c r="K3" s="42"/>
      <c r="L3" s="42"/>
      <c r="M3" s="42"/>
      <c r="N3" s="42"/>
      <c r="O3" s="42"/>
      <c r="P3" s="42"/>
      <c r="Q3" s="42"/>
      <c r="R3" s="42"/>
      <c r="S3" s="42"/>
      <c r="T3" s="42"/>
      <c r="U3" s="42"/>
      <c r="V3" s="42"/>
    </row>
    <row r="4" customHeight="1" spans="2:22">
      <c r="B4" s="45" t="s">
        <v>840</v>
      </c>
      <c r="C4" s="59" t="s">
        <v>841</v>
      </c>
      <c r="E4" s="38">
        <f>IF(OR(B4=角色卡!$BD$22,B4=角色卡!$BH$22,B4=角色卡!$BD$24,B4=角色卡!$BH$24),"",ROW())</f>
        <v>4</v>
      </c>
      <c r="F4" s="38">
        <f>IF(OR(B4=角色卡!$BD$22,B4=角色卡!$BH$22,B4=角色卡!$BD$24,B4=角色卡!$BH$24),"",ROW())</f>
        <v>4</v>
      </c>
      <c r="G4" s="38">
        <f>IF(OR(B4=角色卡!$BD$22,B4=角色卡!$BH$22,B4=角色卡!$BD$24,B4=角色卡!$BH$24),"",ROW())</f>
        <v>4</v>
      </c>
      <c r="H4" s="38">
        <f>IF(OR(B4=角色卡!$BD$22,B4=角色卡!$BH$22,B4=角色卡!$BD$24,B4=角色卡!$BH$24),"",ROW())</f>
        <v>4</v>
      </c>
      <c r="I4" s="19" t="str" cm="1">
        <f t="array" ref="I4">IFERROR(INDEX(灵能印记!$B:$B,SMALL(灵能印记!$E:$E,ROWS(灵能印记!$A$4:$A4))),"")</f>
        <v>缩小</v>
      </c>
      <c r="J4" s="19" t="str" cm="1">
        <f t="array" ref="J4">IFERROR(INDEX(灵能印记!$B:$B,SMALL(灵能印记!$F:$F,ROWS(灵能印记!$A$4:$A4))),"")</f>
        <v>缩小</v>
      </c>
      <c r="K4" s="19" t="str" cm="1">
        <f t="array" ref="K4">IFERROR(INDEX(灵能印记!$B:$B,SMALL(灵能印记!$G:$G,ROWS(灵能印记!$A$4:$A4))),"")</f>
        <v>缩小</v>
      </c>
      <c r="L4" s="19" t="str" cm="1">
        <f t="array" ref="L4">IFERROR(INDEX(灵能印记!$B:$B,SMALL(灵能印记!$H:$H,ROWS(灵能印记!$A$4:$A4))),"")</f>
        <v>缩小</v>
      </c>
      <c r="M4" s="42"/>
      <c r="N4" s="42"/>
      <c r="O4" s="42"/>
      <c r="P4" s="42"/>
      <c r="Q4" s="42"/>
      <c r="R4" s="42"/>
      <c r="S4" s="42"/>
      <c r="T4" s="42"/>
      <c r="U4" s="42"/>
      <c r="V4" s="42"/>
    </row>
    <row r="5" customHeight="1" spans="2:22">
      <c r="B5" s="51" t="s">
        <v>842</v>
      </c>
      <c r="C5" s="60" t="s">
        <v>843</v>
      </c>
      <c r="E5" s="38">
        <f>IF(OR(B5=角色卡!$BD$22,B5=角色卡!$BH$22,B5=角色卡!$BD$24,B5=角色卡!$BH$24),"",ROW())</f>
        <v>5</v>
      </c>
      <c r="F5" s="38">
        <f>IF(OR(B5=角色卡!$BD$22,B5=角色卡!$BH$22,B5=角色卡!$BD$24,B5=角色卡!$BH$24),"",ROW())</f>
        <v>5</v>
      </c>
      <c r="G5" s="38">
        <f>IF(OR(B5=角色卡!$BD$22,B5=角色卡!$BH$22,B5=角色卡!$BD$24,B5=角色卡!$BH$24),"",ROW())</f>
        <v>5</v>
      </c>
      <c r="H5" s="38">
        <f>IF(OR(B5=角色卡!$BD$22,B5=角色卡!$BH$22,B5=角色卡!$BD$24,B5=角色卡!$BH$24),"",ROW())</f>
        <v>5</v>
      </c>
      <c r="I5" s="19" t="str" cm="1">
        <f t="array" ref="I5">IFERROR(INDEX(灵能印记!$B:$B,SMALL(灵能印记!$E:$E,ROWS(灵能印记!$A$4:$A5))),"")</f>
        <v>放大</v>
      </c>
      <c r="J5" s="19" t="str" cm="1">
        <f t="array" ref="J5">IFERROR(INDEX(灵能印记!$B:$B,SMALL(灵能印记!$F:$F,ROWS(灵能印记!$A$4:$A5))),"")</f>
        <v>放大</v>
      </c>
      <c r="K5" s="19" t="str" cm="1">
        <f t="array" ref="K5">IFERROR(INDEX(灵能印记!$B:$B,SMALL(灵能印记!$G:$G,ROWS(灵能印记!$A$4:$A5))),"")</f>
        <v>放大</v>
      </c>
      <c r="L5" s="19" t="str" cm="1">
        <f t="array" ref="L5">IFERROR(INDEX(灵能印记!$B:$B,SMALL(灵能印记!$H:$H,ROWS(灵能印记!$A$4:$A5))),"")</f>
        <v>放大</v>
      </c>
      <c r="M5" s="42"/>
      <c r="N5" s="42"/>
      <c r="O5" s="42"/>
      <c r="P5" s="42"/>
      <c r="Q5" s="42"/>
      <c r="R5" s="42"/>
      <c r="S5" s="42"/>
      <c r="T5" s="42"/>
      <c r="U5" s="42"/>
      <c r="V5" s="42"/>
    </row>
    <row r="6" customHeight="1" spans="2:22">
      <c r="B6" s="45" t="s">
        <v>844</v>
      </c>
      <c r="C6" s="59" t="s">
        <v>845</v>
      </c>
      <c r="E6" s="38">
        <f>IF(OR(B6=角色卡!$BD$22,B6=角色卡!$BH$22,B6=角色卡!$BD$24,B6=角色卡!$BH$24),"",ROW())</f>
        <v>6</v>
      </c>
      <c r="F6" s="38">
        <f>IF(OR(B6=角色卡!$BD$22,B6=角色卡!$BH$22,B6=角色卡!$BD$24,B6=角色卡!$BH$24),"",ROW())</f>
        <v>6</v>
      </c>
      <c r="G6" s="38">
        <f>IF(OR(B6=角色卡!$BD$22,B6=角色卡!$BH$22,B6=角色卡!$BD$24,B6=角色卡!$BH$24),"",ROW())</f>
        <v>6</v>
      </c>
      <c r="H6" s="38">
        <f>IF(OR(B6=角色卡!$BD$22,B6=角色卡!$BH$22,B6=角色卡!$BD$24,B6=角色卡!$BH$24),"",ROW())</f>
        <v>6</v>
      </c>
      <c r="I6" s="19" t="str" cm="1">
        <f t="array" ref="I6">IFERROR(INDEX(灵能印记!$B:$B,SMALL(灵能印记!$E:$E,ROWS(灵能印记!$A$4:$A6))),"")</f>
        <v>柔软</v>
      </c>
      <c r="J6" s="19" t="str" cm="1">
        <f t="array" ref="J6">IFERROR(INDEX(灵能印记!$B:$B,SMALL(灵能印记!$F:$F,ROWS(灵能印记!$A$4:$A6))),"")</f>
        <v>柔软</v>
      </c>
      <c r="K6" s="19" t="str" cm="1">
        <f t="array" ref="K6">IFERROR(INDEX(灵能印记!$B:$B,SMALL(灵能印记!$G:$G,ROWS(灵能印记!$A$4:$A6))),"")</f>
        <v>柔软</v>
      </c>
      <c r="L6" s="19" t="str" cm="1">
        <f t="array" ref="L6">IFERROR(INDEX(灵能印记!$B:$B,SMALL(灵能印记!$H:$H,ROWS(灵能印记!$A$4:$A6))),"")</f>
        <v>柔软</v>
      </c>
      <c r="M6" s="42"/>
      <c r="N6" s="42"/>
      <c r="O6" s="42"/>
      <c r="P6" s="42"/>
      <c r="Q6" s="42"/>
      <c r="R6" s="42"/>
      <c r="S6" s="42"/>
      <c r="T6" s="42"/>
      <c r="U6" s="42"/>
      <c r="V6" s="42"/>
    </row>
    <row r="7" customHeight="1" spans="2:22">
      <c r="B7" s="51" t="s">
        <v>846</v>
      </c>
      <c r="C7" s="60" t="s">
        <v>847</v>
      </c>
      <c r="E7" s="38">
        <f>IF(OR(B7=角色卡!$BD$22,B7=角色卡!$BH$22,B7=角色卡!$BD$24,B7=角色卡!$BH$24),"",ROW())</f>
        <v>7</v>
      </c>
      <c r="F7" s="38">
        <f>IF(OR(B7=角色卡!$BD$22,B7=角色卡!$BH$22,B7=角色卡!$BD$24,B7=角色卡!$BH$24),"",ROW())</f>
        <v>7</v>
      </c>
      <c r="G7" s="38">
        <f>IF(OR(B7=角色卡!$BD$22,B7=角色卡!$BH$22,B7=角色卡!$BD$24,B7=角色卡!$BH$24),"",ROW())</f>
        <v>7</v>
      </c>
      <c r="H7" s="38">
        <f>IF(OR(B7=角色卡!$BD$22,B7=角色卡!$BH$22,B7=角色卡!$BD$24,B7=角色卡!$BH$24),"",ROW())</f>
        <v>7</v>
      </c>
      <c r="I7" s="19" t="str" cm="1">
        <f t="array" ref="I7">IFERROR(INDEX(灵能印记!$B:$B,SMALL(灵能印记!$E:$E,ROWS(灵能印记!$A$4:$A7))),"")</f>
        <v>坚硬</v>
      </c>
      <c r="J7" s="19" t="str" cm="1">
        <f t="array" ref="J7">IFERROR(INDEX(灵能印记!$B:$B,SMALL(灵能印记!$F:$F,ROWS(灵能印记!$A$4:$A7))),"")</f>
        <v>坚硬</v>
      </c>
      <c r="K7" s="19" t="str" cm="1">
        <f t="array" ref="K7">IFERROR(INDEX(灵能印记!$B:$B,SMALL(灵能印记!$G:$G,ROWS(灵能印记!$A$4:$A7))),"")</f>
        <v>坚硬</v>
      </c>
      <c r="L7" s="19" t="str" cm="1">
        <f t="array" ref="L7">IFERROR(INDEX(灵能印记!$B:$B,SMALL(灵能印记!$H:$H,ROWS(灵能印记!$A$4:$A7))),"")</f>
        <v>坚硬</v>
      </c>
      <c r="M7" s="42"/>
      <c r="N7" s="42"/>
      <c r="O7" s="42"/>
      <c r="P7" s="42"/>
      <c r="Q7" s="42"/>
      <c r="R7" s="42"/>
      <c r="S7" s="42"/>
      <c r="T7" s="42"/>
      <c r="U7" s="42"/>
      <c r="V7" s="42"/>
    </row>
    <row r="8" customHeight="1" spans="2:22">
      <c r="B8" s="45" t="s">
        <v>848</v>
      </c>
      <c r="C8" s="59" t="s">
        <v>849</v>
      </c>
      <c r="E8" s="38">
        <f>IF(OR(B8=角色卡!$BD$22,B8=角色卡!$BH$22,B8=角色卡!$BD$24,B8=角色卡!$BH$24),"",ROW())</f>
        <v>8</v>
      </c>
      <c r="F8" s="38">
        <f>IF(OR(B8=角色卡!$BD$22,B8=角色卡!$BH$22,B8=角色卡!$BD$24,B8=角色卡!$BH$24),"",ROW())</f>
        <v>8</v>
      </c>
      <c r="G8" s="38">
        <f>IF(OR(B8=角色卡!$BD$22,B8=角色卡!$BH$22,B8=角色卡!$BD$24,B8=角色卡!$BH$24),"",ROW())</f>
        <v>8</v>
      </c>
      <c r="H8" s="38">
        <f>IF(OR(B8=角色卡!$BD$22,B8=角色卡!$BH$22,B8=角色卡!$BD$24,B8=角色卡!$BH$24),"",ROW())</f>
        <v>8</v>
      </c>
      <c r="I8" s="19" t="str" cm="1">
        <f t="array" ref="I8">IFERROR(INDEX(灵能印记!$B:$B,SMALL(灵能印记!$E:$E,ROWS(灵能印记!$A$4:$A8))),"")</f>
        <v>轻便</v>
      </c>
      <c r="J8" s="19" t="str" cm="1">
        <f t="array" ref="J8">IFERROR(INDEX(灵能印记!$B:$B,SMALL(灵能印记!$F:$F,ROWS(灵能印记!$A$4:$A8))),"")</f>
        <v>轻便</v>
      </c>
      <c r="K8" s="19" t="str" cm="1">
        <f t="array" ref="K8">IFERROR(INDEX(灵能印记!$B:$B,SMALL(灵能印记!$G:$G,ROWS(灵能印记!$A$4:$A8))),"")</f>
        <v>轻便</v>
      </c>
      <c r="L8" s="19" t="str" cm="1">
        <f t="array" ref="L8">IFERROR(INDEX(灵能印记!$B:$B,SMALL(灵能印记!$H:$H,ROWS(灵能印记!$A$4:$A8))),"")</f>
        <v>轻便</v>
      </c>
      <c r="M8" s="42"/>
      <c r="N8" s="42"/>
      <c r="O8" s="42"/>
      <c r="P8" s="42"/>
      <c r="Q8" s="42"/>
      <c r="R8" s="42"/>
      <c r="S8" s="42"/>
      <c r="T8" s="42"/>
      <c r="U8" s="42"/>
      <c r="V8" s="42"/>
    </row>
    <row r="9" customHeight="1" spans="2:22">
      <c r="B9" s="51" t="s">
        <v>850</v>
      </c>
      <c r="C9" s="60" t="s">
        <v>851</v>
      </c>
      <c r="E9" s="38">
        <f>IF(OR(B9=角色卡!$BD$22,B9=角色卡!$BH$22,B9=角色卡!$BD$24,B9=角色卡!$BH$24),"",ROW())</f>
        <v>9</v>
      </c>
      <c r="F9" s="38">
        <f>IF(OR(B9=角色卡!$BD$22,B9=角色卡!$BH$22,B9=角色卡!$BD$24,B9=角色卡!$BH$24),"",ROW())</f>
        <v>9</v>
      </c>
      <c r="G9" s="38">
        <f>IF(OR(B9=角色卡!$BD$22,B9=角色卡!$BH$22,B9=角色卡!$BD$24,B9=角色卡!$BH$24),"",ROW())</f>
        <v>9</v>
      </c>
      <c r="H9" s="38">
        <f>IF(OR(B9=角色卡!$BD$22,B9=角色卡!$BH$22,B9=角色卡!$BD$24,B9=角色卡!$BH$24),"",ROW())</f>
        <v>9</v>
      </c>
      <c r="I9" s="19" t="str" cm="1">
        <f t="array" ref="I9">IFERROR(INDEX(灵能印记!$B:$B,SMALL(灵能印记!$E:$E,ROWS(灵能印记!$A$4:$A9))),"")</f>
        <v>沉重</v>
      </c>
      <c r="J9" s="19" t="str" cm="1">
        <f t="array" ref="J9">IFERROR(INDEX(灵能印记!$B:$B,SMALL(灵能印记!$F:$F,ROWS(灵能印记!$A$4:$A9))),"")</f>
        <v>沉重</v>
      </c>
      <c r="K9" s="19" t="str" cm="1">
        <f t="array" ref="K9">IFERROR(INDEX(灵能印记!$B:$B,SMALL(灵能印记!$G:$G,ROWS(灵能印记!$A$4:$A9))),"")</f>
        <v>沉重</v>
      </c>
      <c r="L9" s="19" t="str" cm="1">
        <f t="array" ref="L9">IFERROR(INDEX(灵能印记!$B:$B,SMALL(灵能印记!$H:$H,ROWS(灵能印记!$A$4:$A9))),"")</f>
        <v>沉重</v>
      </c>
      <c r="M9" s="42"/>
      <c r="N9" s="42"/>
      <c r="O9" s="42"/>
      <c r="P9" s="42"/>
      <c r="Q9" s="42"/>
      <c r="R9" s="42"/>
      <c r="S9" s="42"/>
      <c r="T9" s="42"/>
      <c r="U9" s="42"/>
      <c r="V9" s="42"/>
    </row>
    <row r="10" customHeight="1" spans="2:22">
      <c r="B10" s="45" t="s">
        <v>852</v>
      </c>
      <c r="C10" s="59" t="s">
        <v>853</v>
      </c>
      <c r="E10" s="38">
        <f>IF(OR(B10=角色卡!$BD$22,B10=角色卡!$BH$22,B10=角色卡!$BD$24,B10=角色卡!$BH$24),"",ROW())</f>
        <v>10</v>
      </c>
      <c r="F10" s="38">
        <f>IF(OR(B10=角色卡!$BD$22,B10=角色卡!$BH$22,B10=角色卡!$BD$24,B10=角色卡!$BH$24),"",ROW())</f>
        <v>10</v>
      </c>
      <c r="G10" s="38">
        <f>IF(OR(B10=角色卡!$BD$22,B10=角色卡!$BH$22,B10=角色卡!$BD$24,B10=角色卡!$BH$24),"",ROW())</f>
        <v>10</v>
      </c>
      <c r="H10" s="38">
        <f>IF(OR(B10=角色卡!$BD$22,B10=角色卡!$BH$22,B10=角色卡!$BD$24,B10=角色卡!$BH$24),"",ROW())</f>
        <v>10</v>
      </c>
      <c r="I10" s="19" t="str" cm="1">
        <f t="array" ref="I10">IFERROR(INDEX(灵能印记!$B:$B,SMALL(灵能印记!$E:$E,ROWS(灵能印记!$A$4:$A10))),"")</f>
        <v>失衡</v>
      </c>
      <c r="J10" s="19" t="str" cm="1">
        <f t="array" ref="J10">IFERROR(INDEX(灵能印记!$B:$B,SMALL(灵能印记!$F:$F,ROWS(灵能印记!$A$4:$A10))),"")</f>
        <v>失衡</v>
      </c>
      <c r="K10" s="19" t="str" cm="1">
        <f t="array" ref="K10">IFERROR(INDEX(灵能印记!$B:$B,SMALL(灵能印记!$G:$G,ROWS(灵能印记!$A$4:$A10))),"")</f>
        <v>失衡</v>
      </c>
      <c r="L10" s="19" t="str" cm="1">
        <f t="array" ref="L10">IFERROR(INDEX(灵能印记!$B:$B,SMALL(灵能印记!$H:$H,ROWS(灵能印记!$A$4:$A10))),"")</f>
        <v>失衡</v>
      </c>
      <c r="M10" s="42"/>
      <c r="N10" s="42"/>
      <c r="O10" s="42"/>
      <c r="P10" s="42"/>
      <c r="Q10" s="42"/>
      <c r="R10" s="42"/>
      <c r="S10" s="42"/>
      <c r="T10" s="42"/>
      <c r="U10" s="42"/>
      <c r="V10" s="42"/>
    </row>
    <row r="11" customHeight="1" spans="2:22">
      <c r="B11" s="51" t="s">
        <v>854</v>
      </c>
      <c r="C11" s="60" t="s">
        <v>855</v>
      </c>
      <c r="E11" s="38">
        <f>IF(OR(B11=角色卡!$BD$22,B11=角色卡!$BH$22,B11=角色卡!$BD$24,B11=角色卡!$BH$24),"",ROW())</f>
        <v>11</v>
      </c>
      <c r="F11" s="38">
        <f>IF(OR(B11=角色卡!$BD$22,B11=角色卡!$BH$22,B11=角色卡!$BD$24,B11=角色卡!$BH$24),"",ROW())</f>
        <v>11</v>
      </c>
      <c r="G11" s="38">
        <f>IF(OR(B11=角色卡!$BD$22,B11=角色卡!$BH$22,B11=角色卡!$BD$24,B11=角色卡!$BH$24),"",ROW())</f>
        <v>11</v>
      </c>
      <c r="H11" s="38">
        <f>IF(OR(B11=角色卡!$BD$22,B11=角色卡!$BH$22,B11=角色卡!$BD$24,B11=角色卡!$BH$24),"",ROW())</f>
        <v>11</v>
      </c>
      <c r="I11" s="19" t="str" cm="1">
        <f t="array" ref="I11">IFERROR(INDEX(灵能印记!$B:$B,SMALL(灵能印记!$E:$E,ROWS(灵能印记!$A$4:$A11))),"")</f>
        <v>守护</v>
      </c>
      <c r="J11" s="19" t="str" cm="1">
        <f t="array" ref="J11">IFERROR(INDEX(灵能印记!$B:$B,SMALL(灵能印记!$F:$F,ROWS(灵能印记!$A$4:$A11))),"")</f>
        <v>守护</v>
      </c>
      <c r="K11" s="19" t="str" cm="1">
        <f t="array" ref="K11">IFERROR(INDEX(灵能印记!$B:$B,SMALL(灵能印记!$G:$G,ROWS(灵能印记!$A$4:$A11))),"")</f>
        <v>守护</v>
      </c>
      <c r="L11" s="19" t="str" cm="1">
        <f t="array" ref="L11">IFERROR(INDEX(灵能印记!$B:$B,SMALL(灵能印记!$H:$H,ROWS(灵能印记!$A$4:$A11))),"")</f>
        <v>守护</v>
      </c>
      <c r="M11" s="42"/>
      <c r="N11" s="42"/>
      <c r="O11" s="42"/>
      <c r="P11" s="42"/>
      <c r="Q11" s="42"/>
      <c r="R11" s="42"/>
      <c r="S11" s="42"/>
      <c r="T11" s="42"/>
      <c r="U11" s="42"/>
      <c r="V11" s="42"/>
    </row>
    <row r="12" customHeight="1" spans="2:22">
      <c r="B12" s="45" t="s">
        <v>856</v>
      </c>
      <c r="C12" s="59" t="s">
        <v>857</v>
      </c>
      <c r="E12" s="38">
        <f>IF(OR(B12=角色卡!$BD$22,B12=角色卡!$BH$22,B12=角色卡!$BD$24,B12=角色卡!$BH$24),"",ROW())</f>
        <v>12</v>
      </c>
      <c r="F12" s="38">
        <f>IF(OR(B12=角色卡!$BD$22,B12=角色卡!$BH$22,B12=角色卡!$BD$24,B12=角色卡!$BH$24),"",ROW())</f>
        <v>12</v>
      </c>
      <c r="G12" s="38">
        <f>IF(OR(B12=角色卡!$BD$22,B12=角色卡!$BH$22,B12=角色卡!$BD$24,B12=角色卡!$BH$24),"",ROW())</f>
        <v>12</v>
      </c>
      <c r="H12" s="38">
        <f>IF(OR(B12=角色卡!$BD$22,B12=角色卡!$BH$22,B12=角色卡!$BD$24,B12=角色卡!$BH$24),"",ROW())</f>
        <v>12</v>
      </c>
      <c r="I12" s="19" t="str" cm="1">
        <f t="array" ref="I12">IFERROR(INDEX(灵能印记!$B:$B,SMALL(灵能印记!$E:$E,ROWS(灵能印记!$A$4:$A12))),"")</f>
        <v>多重</v>
      </c>
      <c r="J12" s="19" t="str" cm="1">
        <f t="array" ref="J12">IFERROR(INDEX(灵能印记!$B:$B,SMALL(灵能印记!$F:$F,ROWS(灵能印记!$A$4:$A12))),"")</f>
        <v>多重</v>
      </c>
      <c r="K12" s="19" t="str" cm="1">
        <f t="array" ref="K12">IFERROR(INDEX(灵能印记!$B:$B,SMALL(灵能印记!$G:$G,ROWS(灵能印记!$A$4:$A12))),"")</f>
        <v>多重</v>
      </c>
      <c r="L12" s="19" t="str" cm="1">
        <f t="array" ref="L12">IFERROR(INDEX(灵能印记!$B:$B,SMALL(灵能印记!$H:$H,ROWS(灵能印记!$A$4:$A12))),"")</f>
        <v>多重</v>
      </c>
      <c r="M12" s="42"/>
      <c r="N12" s="42"/>
      <c r="O12" s="42"/>
      <c r="P12" s="42"/>
      <c r="Q12" s="42"/>
      <c r="R12" s="42"/>
      <c r="S12" s="42"/>
      <c r="T12" s="42"/>
      <c r="U12" s="42"/>
      <c r="V12" s="42"/>
    </row>
    <row r="13" customHeight="1" spans="2:22">
      <c r="B13" s="51" t="s">
        <v>858</v>
      </c>
      <c r="C13" s="61" t="s">
        <v>859</v>
      </c>
      <c r="E13" s="38">
        <f>IF(OR(B13=角色卡!$BD$22,B13=角色卡!$BH$22,B13=角色卡!$BD$24,B13=角色卡!$BH$24),"",ROW())</f>
        <v>13</v>
      </c>
      <c r="F13" s="38">
        <f>IF(OR(B13=角色卡!$BD$22,B13=角色卡!$BH$22,B13=角色卡!$BD$24,B13=角色卡!$BH$24),"",ROW())</f>
        <v>13</v>
      </c>
      <c r="G13" s="38">
        <f>IF(OR(B13=角色卡!$BD$22,B13=角色卡!$BH$22,B13=角色卡!$BD$24,B13=角色卡!$BH$24),"",ROW())</f>
        <v>13</v>
      </c>
      <c r="H13" s="38">
        <f>IF(OR(B13=角色卡!$BD$22,B13=角色卡!$BH$22,B13=角色卡!$BD$24,B13=角色卡!$BH$24),"",ROW())</f>
        <v>13</v>
      </c>
      <c r="I13" s="19" t="str" cm="1">
        <f t="array" ref="I13">IFERROR(INDEX(灵能印记!$B:$B,SMALL(灵能印记!$E:$E,ROWS(灵能印记!$A$4:$A13))),"")</f>
        <v>组合</v>
      </c>
      <c r="J13" s="19" t="str" cm="1">
        <f t="array" ref="J13">IFERROR(INDEX(灵能印记!$B:$B,SMALL(灵能印记!$F:$F,ROWS(灵能印记!$A$4:$A13))),"")</f>
        <v>组合</v>
      </c>
      <c r="K13" s="19" t="str" cm="1">
        <f t="array" ref="K13">IFERROR(INDEX(灵能印记!$B:$B,SMALL(灵能印记!$G:$G,ROWS(灵能印记!$A$4:$A13))),"")</f>
        <v>组合</v>
      </c>
      <c r="L13" s="19" t="str" cm="1">
        <f t="array" ref="L13">IFERROR(INDEX(灵能印记!$B:$B,SMALL(灵能印记!$H:$H,ROWS(灵能印记!$A$4:$A13))),"")</f>
        <v>组合</v>
      </c>
      <c r="M13" s="42"/>
      <c r="N13" s="42"/>
      <c r="O13" s="42"/>
      <c r="P13" s="42"/>
      <c r="Q13" s="42"/>
      <c r="R13" s="42"/>
      <c r="S13" s="42"/>
      <c r="T13" s="42"/>
      <c r="U13" s="42"/>
      <c r="V13" s="42"/>
    </row>
    <row r="14" customHeight="1" spans="2:22">
      <c r="B14" s="45" t="s">
        <v>860</v>
      </c>
      <c r="C14" s="59" t="s">
        <v>861</v>
      </c>
      <c r="E14" s="38">
        <f>IF(OR(B14=角色卡!$BD$22,B14=角色卡!$BH$22,B14=角色卡!$BD$24,B14=角色卡!$BH$24),"",ROW())</f>
        <v>14</v>
      </c>
      <c r="F14" s="38">
        <f>IF(OR(B14=角色卡!$BD$22,B14=角色卡!$BH$22,B14=角色卡!$BD$24,B14=角色卡!$BH$24),"",ROW())</f>
        <v>14</v>
      </c>
      <c r="G14" s="38">
        <f>IF(OR(B14=角色卡!$BD$22,B14=角色卡!$BH$22,B14=角色卡!$BD$24,B14=角色卡!$BH$24),"",ROW())</f>
        <v>14</v>
      </c>
      <c r="H14" s="38">
        <f>IF(OR(B14=角色卡!$BD$22,B14=角色卡!$BH$22,B14=角色卡!$BD$24,B14=角色卡!$BH$24),"",ROW())</f>
        <v>14</v>
      </c>
      <c r="I14" s="19" t="str" cm="1">
        <f t="array" ref="I14">IFERROR(INDEX(灵能印记!$B:$B,SMALL(灵能印记!$E:$E,ROWS(灵能印记!$A$4:$A14))),"")</f>
        <v>分身</v>
      </c>
      <c r="J14" s="19" t="str" cm="1">
        <f t="array" ref="J14">IFERROR(INDEX(灵能印记!$B:$B,SMALL(灵能印记!$F:$F,ROWS(灵能印记!$A$4:$A14))),"")</f>
        <v>分身</v>
      </c>
      <c r="K14" s="19" t="str" cm="1">
        <f t="array" ref="K14">IFERROR(INDEX(灵能印记!$B:$B,SMALL(灵能印记!$G:$G,ROWS(灵能印记!$A$4:$A14))),"")</f>
        <v>分身</v>
      </c>
      <c r="L14" s="19" t="str" cm="1">
        <f t="array" ref="L14">IFERROR(INDEX(灵能印记!$B:$B,SMALL(灵能印记!$H:$H,ROWS(灵能印记!$A$4:$A14))),"")</f>
        <v>分身</v>
      </c>
      <c r="M14" s="42"/>
      <c r="N14" s="42"/>
      <c r="O14" s="42"/>
      <c r="P14" s="42"/>
      <c r="Q14" s="42"/>
      <c r="R14" s="42"/>
      <c r="S14" s="42"/>
      <c r="T14" s="42"/>
      <c r="U14" s="42"/>
      <c r="V14" s="42"/>
    </row>
    <row r="15" customHeight="1" spans="2:22">
      <c r="B15" s="51" t="s">
        <v>862</v>
      </c>
      <c r="C15" s="60" t="s">
        <v>863</v>
      </c>
      <c r="E15" s="38">
        <f>IF(OR(B15=角色卡!$BD$22,B15=角色卡!$BH$22,B15=角色卡!$BD$24,B15=角色卡!$BH$24),"",ROW())</f>
        <v>15</v>
      </c>
      <c r="F15" s="38">
        <f>IF(OR(B15=角色卡!$BD$22,B15=角色卡!$BH$22,B15=角色卡!$BD$24,B15=角色卡!$BH$24),"",ROW())</f>
        <v>15</v>
      </c>
      <c r="G15" s="38">
        <f>IF(OR(B15=角色卡!$BD$22,B15=角色卡!$BH$22,B15=角色卡!$BD$24,B15=角色卡!$BH$24),"",ROW())</f>
        <v>15</v>
      </c>
      <c r="H15" s="38">
        <f>IF(OR(B15=角色卡!$BD$22,B15=角色卡!$BH$22,B15=角色卡!$BD$24,B15=角色卡!$BH$24),"",ROW())</f>
        <v>15</v>
      </c>
      <c r="I15" s="19" t="str" cm="1">
        <f t="array" ref="I15">IFERROR(INDEX(灵能印记!$B:$B,SMALL(灵能印记!$E:$E,ROWS(灵能印记!$A$4:$A15))),"")</f>
        <v>悬空</v>
      </c>
      <c r="J15" s="19" t="str" cm="1">
        <f t="array" ref="J15">IFERROR(INDEX(灵能印记!$B:$B,SMALL(灵能印记!$F:$F,ROWS(灵能印记!$A$4:$A15))),"")</f>
        <v>悬空</v>
      </c>
      <c r="K15" s="19" t="str" cm="1">
        <f t="array" ref="K15">IFERROR(INDEX(灵能印记!$B:$B,SMALL(灵能印记!$G:$G,ROWS(灵能印记!$A$4:$A15))),"")</f>
        <v>悬空</v>
      </c>
      <c r="L15" s="19" t="str" cm="1">
        <f t="array" ref="L15">IFERROR(INDEX(灵能印记!$B:$B,SMALL(灵能印记!$H:$H,ROWS(灵能印记!$A$4:$A15))),"")</f>
        <v>悬空</v>
      </c>
      <c r="M15" s="42"/>
      <c r="N15" s="42"/>
      <c r="O15" s="42"/>
      <c r="P15" s="42"/>
      <c r="Q15" s="42"/>
      <c r="R15" s="42"/>
      <c r="S15" s="42"/>
      <c r="T15" s="42"/>
      <c r="U15" s="42"/>
      <c r="V15" s="42"/>
    </row>
    <row r="16" customHeight="1" spans="2:22">
      <c r="B16" s="45" t="s">
        <v>864</v>
      </c>
      <c r="C16" s="59" t="s">
        <v>865</v>
      </c>
      <c r="E16" s="38">
        <f>IF(OR(B16=角色卡!$BD$22,B16=角色卡!$BH$22,B16=角色卡!$BD$24,B16=角色卡!$BH$24),"",ROW())</f>
        <v>16</v>
      </c>
      <c r="F16" s="38">
        <f>IF(OR(B16=角色卡!$BD$22,B16=角色卡!$BH$22,B16=角色卡!$BD$24,B16=角色卡!$BH$24),"",ROW())</f>
        <v>16</v>
      </c>
      <c r="G16" s="38">
        <f>IF(OR(B16=角色卡!$BD$22,B16=角色卡!$BH$22,B16=角色卡!$BD$24,B16=角色卡!$BH$24),"",ROW())</f>
        <v>16</v>
      </c>
      <c r="H16" s="38">
        <f>IF(OR(B16=角色卡!$BD$22,B16=角色卡!$BH$22,B16=角色卡!$BD$24,B16=角色卡!$BH$24),"",ROW())</f>
        <v>16</v>
      </c>
      <c r="I16" s="19" t="str" cm="1">
        <f t="array" ref="I16">IFERROR(INDEX(灵能印记!$B:$B,SMALL(灵能印记!$E:$E,ROWS(灵能印记!$A$4:$A16))),"")</f>
        <v>警戒</v>
      </c>
      <c r="J16" s="19" t="str" cm="1">
        <f t="array" ref="J16">IFERROR(INDEX(灵能印记!$B:$B,SMALL(灵能印记!$F:$F,ROWS(灵能印记!$A$4:$A16))),"")</f>
        <v>警戒</v>
      </c>
      <c r="K16" s="19" t="str" cm="1">
        <f t="array" ref="K16">IFERROR(INDEX(灵能印记!$B:$B,SMALL(灵能印记!$G:$G,ROWS(灵能印记!$A$4:$A16))),"")</f>
        <v>警戒</v>
      </c>
      <c r="L16" s="19" t="str" cm="1">
        <f t="array" ref="L16">IFERROR(INDEX(灵能印记!$B:$B,SMALL(灵能印记!$H:$H,ROWS(灵能印记!$A$4:$A16))),"")</f>
        <v>警戒</v>
      </c>
      <c r="M16" s="42"/>
      <c r="N16" s="42"/>
      <c r="O16" s="42"/>
      <c r="P16" s="42"/>
      <c r="Q16" s="42"/>
      <c r="R16" s="42"/>
      <c r="S16" s="42"/>
      <c r="T16" s="42"/>
      <c r="U16" s="42"/>
      <c r="V16" s="42"/>
    </row>
    <row r="17" customHeight="1" spans="2:22">
      <c r="B17" s="51" t="s">
        <v>866</v>
      </c>
      <c r="C17" s="60" t="s">
        <v>867</v>
      </c>
      <c r="E17" s="38">
        <f>IF(OR(B17=角色卡!$BD$22,B17=角色卡!$BH$22,B17=角色卡!$BD$24,B17=角色卡!$BH$24),"",ROW())</f>
        <v>17</v>
      </c>
      <c r="F17" s="38">
        <f>IF(OR(B17=角色卡!$BD$22,B17=角色卡!$BH$22,B17=角色卡!$BD$24,B17=角色卡!$BH$24),"",ROW())</f>
        <v>17</v>
      </c>
      <c r="G17" s="38">
        <f>IF(OR(B17=角色卡!$BD$22,B17=角色卡!$BH$22,B17=角色卡!$BD$24,B17=角色卡!$BH$24),"",ROW())</f>
        <v>17</v>
      </c>
      <c r="H17" s="38">
        <f>IF(OR(B17=角色卡!$BD$22,B17=角色卡!$BH$22,B17=角色卡!$BD$24,B17=角色卡!$BH$24),"",ROW())</f>
        <v>17</v>
      </c>
      <c r="I17" s="19" t="str" cm="1">
        <f t="array" ref="I17">IFERROR(INDEX(灵能印记!$B:$B,SMALL(灵能印记!$E:$E,ROWS(灵能印记!$A$4:$A17))),"")</f>
        <v>高速</v>
      </c>
      <c r="J17" s="19" t="str" cm="1">
        <f t="array" ref="J17">IFERROR(INDEX(灵能印记!$B:$B,SMALL(灵能印记!$F:$F,ROWS(灵能印记!$A$4:$A17))),"")</f>
        <v>高速</v>
      </c>
      <c r="K17" s="19" t="str" cm="1">
        <f t="array" ref="K17">IFERROR(INDEX(灵能印记!$B:$B,SMALL(灵能印记!$G:$G,ROWS(灵能印记!$A$4:$A17))),"")</f>
        <v>高速</v>
      </c>
      <c r="L17" s="19" t="str" cm="1">
        <f t="array" ref="L17">IFERROR(INDEX(灵能印记!$B:$B,SMALL(灵能印记!$H:$H,ROWS(灵能印记!$A$4:$A17))),"")</f>
        <v>高速</v>
      </c>
      <c r="M17" s="42"/>
      <c r="N17" s="42"/>
      <c r="O17" s="42"/>
      <c r="P17" s="42"/>
      <c r="Q17" s="42"/>
      <c r="R17" s="42"/>
      <c r="S17" s="42"/>
      <c r="T17" s="42"/>
      <c r="U17" s="42"/>
      <c r="V17" s="42"/>
    </row>
    <row r="18" customHeight="1" spans="2:22">
      <c r="B18" s="45" t="s">
        <v>868</v>
      </c>
      <c r="C18" s="59" t="s">
        <v>869</v>
      </c>
      <c r="E18" s="38">
        <f>IF(OR(B18=角色卡!$BD$22,B18=角色卡!$BH$22,B18=角色卡!$BD$24,B18=角色卡!$BH$24),"",ROW())</f>
        <v>18</v>
      </c>
      <c r="F18" s="38">
        <f>IF(OR(B18=角色卡!$BD$22,B18=角色卡!$BH$22,B18=角色卡!$BD$24,B18=角色卡!$BH$24),"",ROW())</f>
        <v>18</v>
      </c>
      <c r="G18" s="38">
        <f>IF(OR(B18=角色卡!$BD$22,B18=角色卡!$BH$22,B18=角色卡!$BD$24,B18=角色卡!$BH$24),"",ROW())</f>
        <v>18</v>
      </c>
      <c r="H18" s="38">
        <f>IF(OR(B18=角色卡!$BD$22,B18=角色卡!$BH$22,B18=角色卡!$BD$24,B18=角色卡!$BH$24),"",ROW())</f>
        <v>18</v>
      </c>
      <c r="I18" s="19" t="str" cm="1">
        <f t="array" ref="I18">IFERROR(INDEX(灵能印记!$B:$B,SMALL(灵能印记!$E:$E,ROWS(灵能印记!$A$4:$A18))),"")</f>
        <v>隐蔽</v>
      </c>
      <c r="J18" s="19" t="str" cm="1">
        <f t="array" ref="J18">IFERROR(INDEX(灵能印记!$B:$B,SMALL(灵能印记!$F:$F,ROWS(灵能印记!$A$4:$A18))),"")</f>
        <v>隐蔽</v>
      </c>
      <c r="K18" s="19" t="str" cm="1">
        <f t="array" ref="K18">IFERROR(INDEX(灵能印记!$B:$B,SMALL(灵能印记!$G:$G,ROWS(灵能印记!$A$4:$A18))),"")</f>
        <v>隐蔽</v>
      </c>
      <c r="L18" s="19" t="str" cm="1">
        <f t="array" ref="L18">IFERROR(INDEX(灵能印记!$B:$B,SMALL(灵能印记!$H:$H,ROWS(灵能印记!$A$4:$A18))),"")</f>
        <v>隐蔽</v>
      </c>
      <c r="M18" s="42"/>
      <c r="N18" s="42"/>
      <c r="O18" s="42"/>
      <c r="P18" s="42"/>
      <c r="Q18" s="42"/>
      <c r="R18" s="42"/>
      <c r="S18" s="42"/>
      <c r="T18" s="42"/>
      <c r="U18" s="42"/>
      <c r="V18" s="42"/>
    </row>
    <row r="19" customHeight="1" spans="2:22">
      <c r="B19" s="51" t="s">
        <v>870</v>
      </c>
      <c r="C19" s="60" t="s">
        <v>871</v>
      </c>
      <c r="E19" s="38">
        <f>IF(OR(B19=角色卡!$BD$22,B19=角色卡!$BH$22,B19=角色卡!$BD$24,B19=角色卡!$BH$24),"",ROW())</f>
        <v>19</v>
      </c>
      <c r="F19" s="38">
        <f>IF(OR(B19=角色卡!$BD$22,B19=角色卡!$BH$22,B19=角色卡!$BD$24,B19=角色卡!$BH$24),"",ROW())</f>
        <v>19</v>
      </c>
      <c r="G19" s="38">
        <f>IF(OR(B19=角色卡!$BD$22,B19=角色卡!$BH$22,B19=角色卡!$BD$24,B19=角色卡!$BH$24),"",ROW())</f>
        <v>19</v>
      </c>
      <c r="H19" s="38">
        <f>IF(OR(B19=角色卡!$BD$22,B19=角色卡!$BH$22,B19=角色卡!$BD$24,B19=角色卡!$BH$24),"",ROW())</f>
        <v>19</v>
      </c>
      <c r="I19" s="19" t="str" cm="1">
        <f t="array" ref="I19">IFERROR(INDEX(灵能印记!$B:$B,SMALL(灵能印记!$E:$E,ROWS(灵能印记!$A$4:$A19))),"")</f>
        <v>转移</v>
      </c>
      <c r="J19" s="19" t="str" cm="1">
        <f t="array" ref="J19">IFERROR(INDEX(灵能印记!$B:$B,SMALL(灵能印记!$F:$F,ROWS(灵能印记!$A$4:$A19))),"")</f>
        <v>转移</v>
      </c>
      <c r="K19" s="19" t="str" cm="1">
        <f t="array" ref="K19">IFERROR(INDEX(灵能印记!$B:$B,SMALL(灵能印记!$G:$G,ROWS(灵能印记!$A$4:$A19))),"")</f>
        <v>转移</v>
      </c>
      <c r="L19" s="19" t="str" cm="1">
        <f t="array" ref="L19">IFERROR(INDEX(灵能印记!$B:$B,SMALL(灵能印记!$H:$H,ROWS(灵能印记!$A$4:$A19))),"")</f>
        <v>转移</v>
      </c>
      <c r="M19" s="42"/>
      <c r="N19" s="42"/>
      <c r="O19" s="42"/>
      <c r="P19" s="42"/>
      <c r="Q19" s="42"/>
      <c r="R19" s="42"/>
      <c r="S19" s="42"/>
      <c r="T19" s="42"/>
      <c r="U19" s="42"/>
      <c r="V19" s="42"/>
    </row>
    <row r="20" customHeight="1" spans="2:22">
      <c r="B20" s="45" t="s">
        <v>872</v>
      </c>
      <c r="C20" s="59" t="s">
        <v>873</v>
      </c>
      <c r="E20" s="38">
        <f>IF(OR(B20=角色卡!$BD$22,B20=角色卡!$BH$22,B20=角色卡!$BD$24,B20=角色卡!$BH$24),"",ROW())</f>
        <v>20</v>
      </c>
      <c r="F20" s="38">
        <f>IF(OR(B20=角色卡!$BD$22,B20=角色卡!$BH$22,B20=角色卡!$BD$24,B20=角色卡!$BH$24),"",ROW())</f>
        <v>20</v>
      </c>
      <c r="G20" s="38">
        <f>IF(OR(B20=角色卡!$BD$22,B20=角色卡!$BH$22,B20=角色卡!$BD$24,B20=角色卡!$BH$24),"",ROW())</f>
        <v>20</v>
      </c>
      <c r="H20" s="38">
        <f>IF(OR(B20=角色卡!$BD$22,B20=角色卡!$BH$22,B20=角色卡!$BD$24,B20=角色卡!$BH$24),"",ROW())</f>
        <v>20</v>
      </c>
      <c r="I20" s="19" t="str" cm="1">
        <f t="array" ref="I20">IFERROR(INDEX(灵能印记!$B:$B,SMALL(灵能印记!$E:$E,ROWS(灵能印记!$A$4:$A20))),"")</f>
        <v>神圣</v>
      </c>
      <c r="J20" s="19" t="str" cm="1">
        <f t="array" ref="J20">IFERROR(INDEX(灵能印记!$B:$B,SMALL(灵能印记!$F:$F,ROWS(灵能印记!$A$4:$A20))),"")</f>
        <v>神圣</v>
      </c>
      <c r="K20" s="19" t="str" cm="1">
        <f t="array" ref="K20">IFERROR(INDEX(灵能印记!$B:$B,SMALL(灵能印记!$G:$G,ROWS(灵能印记!$A$4:$A20))),"")</f>
        <v>神圣</v>
      </c>
      <c r="L20" s="19" t="str" cm="1">
        <f t="array" ref="L20">IFERROR(INDEX(灵能印记!$B:$B,SMALL(灵能印记!$H:$H,ROWS(灵能印记!$A$4:$A20))),"")</f>
        <v>神圣</v>
      </c>
      <c r="M20" s="42"/>
      <c r="N20" s="42"/>
      <c r="O20" s="42"/>
      <c r="P20" s="42"/>
      <c r="Q20" s="42"/>
      <c r="R20" s="42"/>
      <c r="S20" s="42"/>
      <c r="T20" s="42"/>
      <c r="U20" s="42"/>
      <c r="V20" s="42"/>
    </row>
    <row r="21" customHeight="1" spans="2:22">
      <c r="B21" s="51" t="s">
        <v>874</v>
      </c>
      <c r="C21" s="62" t="s">
        <v>875</v>
      </c>
      <c r="E21" s="38">
        <f>IF(OR(B21=角色卡!$BD$22,B21=角色卡!$BH$22,B21=角色卡!$BD$24,B21=角色卡!$BH$24),"",ROW())</f>
        <v>21</v>
      </c>
      <c r="F21" s="38">
        <f>IF(OR(B21=角色卡!$BD$22,B21=角色卡!$BH$22,B21=角色卡!$BD$24,B21=角色卡!$BH$24),"",ROW())</f>
        <v>21</v>
      </c>
      <c r="G21" s="38">
        <f>IF(OR(B21=角色卡!$BD$22,B21=角色卡!$BH$22,B21=角色卡!$BD$24,B21=角色卡!$BH$24),"",ROW())</f>
        <v>21</v>
      </c>
      <c r="H21" s="38">
        <f>IF(OR(B21=角色卡!$BD$22,B21=角色卡!$BH$22,B21=角色卡!$BD$24,B21=角色卡!$BH$24),"",ROW())</f>
        <v>21</v>
      </c>
      <c r="I21" s="19" t="str" cm="1">
        <f t="array" ref="I21">IFERROR(INDEX(灵能印记!$B:$B,SMALL(灵能印记!$E:$E,ROWS(灵能印记!$A$4:$A21))),"")</f>
        <v>能量</v>
      </c>
      <c r="J21" s="19" t="str" cm="1">
        <f t="array" ref="J21">IFERROR(INDEX(灵能印记!$B:$B,SMALL(灵能印记!$F:$F,ROWS(灵能印记!$A$4:$A21))),"")</f>
        <v>能量</v>
      </c>
      <c r="K21" s="19" t="str" cm="1">
        <f t="array" ref="K21">IFERROR(INDEX(灵能印记!$B:$B,SMALL(灵能印记!$G:$G,ROWS(灵能印记!$A$4:$A21))),"")</f>
        <v>能量</v>
      </c>
      <c r="L21" s="19" t="str" cm="1">
        <f t="array" ref="L21">IFERROR(INDEX(灵能印记!$B:$B,SMALL(灵能印记!$H:$H,ROWS(灵能印记!$A$4:$A21))),"")</f>
        <v>能量</v>
      </c>
      <c r="M21" s="42"/>
      <c r="N21" s="42"/>
      <c r="O21" s="42"/>
      <c r="P21" s="42"/>
      <c r="Q21" s="42"/>
      <c r="R21" s="42"/>
      <c r="S21" s="42"/>
      <c r="T21" s="42"/>
      <c r="U21" s="42"/>
      <c r="V21" s="42"/>
    </row>
    <row r="22" customHeight="1" spans="2:22">
      <c r="B22" s="63" t="s">
        <v>876</v>
      </c>
      <c r="C22" s="64" t="s">
        <v>877</v>
      </c>
      <c r="E22" s="38">
        <f>IF(OR(B22=角色卡!$BD$22,B22=角色卡!$BH$22,B22=角色卡!$BD$24,B22=角色卡!$BH$24),"",ROW())</f>
        <v>22</v>
      </c>
      <c r="F22" s="38">
        <f>IF(OR(B22=角色卡!$BD$22,B22=角色卡!$BH$22,B22=角色卡!$BD$24,B22=角色卡!$BH$24),"",ROW())</f>
        <v>22</v>
      </c>
      <c r="G22" s="38">
        <f>IF(OR(B22=角色卡!$BD$22,B22=角色卡!$BH$22,B22=角色卡!$BD$24,B22=角色卡!$BH$24),"",ROW())</f>
        <v>22</v>
      </c>
      <c r="H22" s="38">
        <f>IF(OR(B22=角色卡!$BD$22,B22=角色卡!$BH$22,B22=角色卡!$BD$24,B22=角色卡!$BH$24),"",ROW())</f>
        <v>22</v>
      </c>
      <c r="I22" s="19" t="str" cm="1">
        <f t="array" ref="I22">IFERROR(INDEX(灵能印记!$B:$B,SMALL(灵能印记!$E:$E,ROWS(灵能印记!$A$4:$A22))),"")</f>
        <v>变形</v>
      </c>
      <c r="J22" s="19" t="str" cm="1">
        <f t="array" ref="J22">IFERROR(INDEX(灵能印记!$B:$B,SMALL(灵能印记!$F:$F,ROWS(灵能印记!$A$4:$A22))),"")</f>
        <v>变形</v>
      </c>
      <c r="K22" s="19" t="str" cm="1">
        <f t="array" ref="K22">IFERROR(INDEX(灵能印记!$B:$B,SMALL(灵能印记!$G:$G,ROWS(灵能印记!$A$4:$A22))),"")</f>
        <v>变形</v>
      </c>
      <c r="L22" s="19" t="str" cm="1">
        <f t="array" ref="L22">IFERROR(INDEX(灵能印记!$B:$B,SMALL(灵能印记!$H:$H,ROWS(灵能印记!$A$4:$A22))),"")</f>
        <v>变形</v>
      </c>
      <c r="M22" s="42"/>
      <c r="N22" s="42"/>
      <c r="O22" s="42"/>
      <c r="P22" s="42"/>
      <c r="Q22" s="42"/>
      <c r="R22" s="42"/>
      <c r="S22" s="42"/>
      <c r="T22" s="42"/>
      <c r="U22" s="42"/>
      <c r="V22" s="42"/>
    </row>
    <row r="23" customHeight="1" spans="2:22">
      <c r="B23" s="51" t="s">
        <v>878</v>
      </c>
      <c r="C23" s="60" t="s">
        <v>879</v>
      </c>
      <c r="E23" s="38">
        <f>IF(OR(B23=角色卡!$BD$22,B23=角色卡!$BH$22,B23=角色卡!$BD$24,B23=角色卡!$BH$24),"",ROW())</f>
        <v>23</v>
      </c>
      <c r="F23" s="38">
        <f>IF(OR(B23=角色卡!$BD$22,B23=角色卡!$BH$22,B23=角色卡!$BD$24,B23=角色卡!$BH$24),"",ROW())</f>
        <v>23</v>
      </c>
      <c r="G23" s="38">
        <f>IF(OR(B23=角色卡!$BD$22,B23=角色卡!$BH$22,B23=角色卡!$BD$24,B23=角色卡!$BH$24),"",ROW())</f>
        <v>23</v>
      </c>
      <c r="H23" s="38">
        <f>IF(OR(B23=角色卡!$BD$22,B23=角色卡!$BH$22,B23=角色卡!$BD$24,B23=角色卡!$BH$24),"",ROW())</f>
        <v>23</v>
      </c>
      <c r="I23" s="19" t="str" cm="1">
        <f t="array" ref="I23">IFERROR(INDEX(灵能印记!$B:$B,SMALL(灵能印记!$E:$E,ROWS(灵能印记!$A$4:$A23))),"")</f>
        <v>材质</v>
      </c>
      <c r="J23" s="19" t="str" cm="1">
        <f t="array" ref="J23">IFERROR(INDEX(灵能印记!$B:$B,SMALL(灵能印记!$F:$F,ROWS(灵能印记!$A$4:$A23))),"")</f>
        <v>材质</v>
      </c>
      <c r="K23" s="19" t="str" cm="1">
        <f t="array" ref="K23">IFERROR(INDEX(灵能印记!$B:$B,SMALL(灵能印记!$G:$G,ROWS(灵能印记!$A$4:$A23))),"")</f>
        <v>材质</v>
      </c>
      <c r="L23" s="19" t="str" cm="1">
        <f t="array" ref="L23">IFERROR(INDEX(灵能印记!$B:$B,SMALL(灵能印记!$H:$H,ROWS(灵能印记!$A$4:$A23))),"")</f>
        <v>材质</v>
      </c>
      <c r="M23" s="42"/>
      <c r="N23" s="42"/>
      <c r="O23" s="42"/>
      <c r="P23" s="42"/>
      <c r="Q23" s="42"/>
      <c r="R23" s="42"/>
      <c r="S23" s="42"/>
      <c r="T23" s="42"/>
      <c r="U23" s="42"/>
      <c r="V23" s="42"/>
    </row>
    <row r="24" customHeight="1" spans="2:22">
      <c r="B24" s="45" t="s">
        <v>880</v>
      </c>
      <c r="C24" s="59" t="s">
        <v>881</v>
      </c>
      <c r="E24" s="38">
        <f>IF(OR(B24=角色卡!$BD$22,B24=角色卡!$BH$22,B24=角色卡!$BD$24,B24=角色卡!$BH$24),"",ROW())</f>
        <v>24</v>
      </c>
      <c r="F24" s="38">
        <f>IF(OR(B24=角色卡!$BD$22,B24=角色卡!$BH$22,B24=角色卡!$BD$24,B24=角色卡!$BH$24),"",ROW())</f>
        <v>24</v>
      </c>
      <c r="G24" s="38">
        <f>IF(OR(B24=角色卡!$BD$22,B24=角色卡!$BH$22,B24=角色卡!$BD$24,B24=角色卡!$BH$24),"",ROW())</f>
        <v>24</v>
      </c>
      <c r="H24" s="38">
        <f>IF(OR(B24=角色卡!$BD$22,B24=角色卡!$BH$22,B24=角色卡!$BD$24,B24=角色卡!$BH$24),"",ROW())</f>
        <v>24</v>
      </c>
      <c r="I24" s="19" t="str" cm="1">
        <f t="array" ref="I24">IFERROR(INDEX(灵能印记!$B:$B,SMALL(灵能印记!$E:$E,ROWS(灵能印记!$A$4:$A24))),"")</f>
        <v>智能</v>
      </c>
      <c r="J24" s="19" t="str" cm="1">
        <f t="array" ref="J24">IFERROR(INDEX(灵能印记!$B:$B,SMALL(灵能印记!$F:$F,ROWS(灵能印记!$A$4:$A24))),"")</f>
        <v>智能</v>
      </c>
      <c r="K24" s="19" t="str" cm="1">
        <f t="array" ref="K24">IFERROR(INDEX(灵能印记!$B:$B,SMALL(灵能印记!$G:$G,ROWS(灵能印记!$A$4:$A24))),"")</f>
        <v>智能</v>
      </c>
      <c r="L24" s="19" t="str" cm="1">
        <f t="array" ref="L24">IFERROR(INDEX(灵能印记!$B:$B,SMALL(灵能印记!$H:$H,ROWS(灵能印记!$A$4:$A24))),"")</f>
        <v>智能</v>
      </c>
      <c r="M24" s="42"/>
      <c r="N24" s="42"/>
      <c r="O24" s="42"/>
      <c r="P24" s="42"/>
      <c r="Q24" s="42"/>
      <c r="R24" s="42"/>
      <c r="S24" s="42"/>
      <c r="T24" s="42"/>
      <c r="U24" s="42"/>
      <c r="V24" s="42"/>
    </row>
    <row r="25" customHeight="1" spans="2:22">
      <c r="B25" s="51" t="s">
        <v>882</v>
      </c>
      <c r="C25" s="60" t="s">
        <v>883</v>
      </c>
      <c r="E25" s="38">
        <f>IF(OR(B25=角色卡!$BD$22,B25=角色卡!$BH$22,B25=角色卡!$BD$24,B25=角色卡!$BH$24),"",ROW())</f>
        <v>25</v>
      </c>
      <c r="F25" s="38">
        <f>IF(OR(B25=角色卡!$BD$22,B25=角色卡!$BH$22,B25=角色卡!$BD$24,B25=角色卡!$BH$24),"",ROW())</f>
        <v>25</v>
      </c>
      <c r="G25" s="38">
        <f>IF(OR(B25=角色卡!$BD$22,B25=角色卡!$BH$22,B25=角色卡!$BD$24,B25=角色卡!$BH$24),"",ROW())</f>
        <v>25</v>
      </c>
      <c r="H25" s="38">
        <f>IF(OR(B25=角色卡!$BD$22,B25=角色卡!$BH$22,B25=角色卡!$BD$24,B25=角色卡!$BH$24),"",ROW())</f>
        <v>25</v>
      </c>
      <c r="I25" s="19" t="str" cm="1">
        <f t="array" ref="I25">IFERROR(INDEX(灵能印记!$B:$B,SMALL(灵能印记!$E:$E,ROWS(灵能印记!$A$4:$A25))),"")</f>
        <v>附着</v>
      </c>
      <c r="J25" s="19" t="str" cm="1">
        <f t="array" ref="J25">IFERROR(INDEX(灵能印记!$B:$B,SMALL(灵能印记!$F:$F,ROWS(灵能印记!$A$4:$A25))),"")</f>
        <v>附着</v>
      </c>
      <c r="K25" s="19" t="str" cm="1">
        <f t="array" ref="K25">IFERROR(INDEX(灵能印记!$B:$B,SMALL(灵能印记!$G:$G,ROWS(灵能印记!$A$4:$A25))),"")</f>
        <v>附着</v>
      </c>
      <c r="L25" s="19" t="str" cm="1">
        <f t="array" ref="L25">IFERROR(INDEX(灵能印记!$B:$B,SMALL(灵能印记!$H:$H,ROWS(灵能印记!$A$4:$A25))),"")</f>
        <v>附着</v>
      </c>
      <c r="M25" s="42"/>
      <c r="N25" s="42"/>
      <c r="O25" s="42"/>
      <c r="P25" s="42"/>
      <c r="Q25" s="42"/>
      <c r="R25" s="42"/>
      <c r="S25" s="42"/>
      <c r="T25" s="42"/>
      <c r="U25" s="42"/>
      <c r="V25" s="42"/>
    </row>
    <row r="26" customHeight="1" spans="2:22">
      <c r="B26" s="45" t="s">
        <v>884</v>
      </c>
      <c r="C26" s="59" t="s">
        <v>885</v>
      </c>
      <c r="E26" s="38">
        <f>IF(OR(B26=角色卡!$BD$22,B26=角色卡!$BH$22,B26=角色卡!$BD$24,B26=角色卡!$BH$24),"",ROW())</f>
        <v>26</v>
      </c>
      <c r="F26" s="38">
        <f>IF(OR(B26=角色卡!$BD$22,B26=角色卡!$BH$22,B26=角色卡!$BD$24,B26=角色卡!$BH$24),"",ROW())</f>
        <v>26</v>
      </c>
      <c r="G26" s="38">
        <f>IF(OR(B26=角色卡!$BD$22,B26=角色卡!$BH$22,B26=角色卡!$BD$24,B26=角色卡!$BH$24),"",ROW())</f>
        <v>26</v>
      </c>
      <c r="H26" s="38">
        <f>IF(OR(B26=角色卡!$BD$22,B26=角色卡!$BH$22,B26=角色卡!$BD$24,B26=角色卡!$BH$24),"",ROW())</f>
        <v>26</v>
      </c>
      <c r="I26" s="19" t="str" cm="1">
        <f t="array" ref="I26">IFERROR(INDEX(灵能印记!$B:$B,SMALL(灵能印记!$E:$E,ROWS(灵能印记!$A$4:$A26))),"")</f>
        <v>相位</v>
      </c>
      <c r="J26" s="19" t="str" cm="1">
        <f t="array" ref="J26">IFERROR(INDEX(灵能印记!$B:$B,SMALL(灵能印记!$F:$F,ROWS(灵能印记!$A$4:$A26))),"")</f>
        <v>相位</v>
      </c>
      <c r="K26" s="19" t="str" cm="1">
        <f t="array" ref="K26">IFERROR(INDEX(灵能印记!$B:$B,SMALL(灵能印记!$G:$G,ROWS(灵能印记!$A$4:$A26))),"")</f>
        <v>相位</v>
      </c>
      <c r="L26" s="19" t="str" cm="1">
        <f t="array" ref="L26">IFERROR(INDEX(灵能印记!$B:$B,SMALL(灵能印记!$H:$H,ROWS(灵能印记!$A$4:$A26))),"")</f>
        <v>相位</v>
      </c>
      <c r="M26" s="42"/>
      <c r="N26" s="42"/>
      <c r="O26" s="42"/>
      <c r="P26" s="42"/>
      <c r="Q26" s="42"/>
      <c r="R26" s="42"/>
      <c r="S26" s="42"/>
      <c r="T26" s="42"/>
      <c r="U26" s="42"/>
      <c r="V26" s="42"/>
    </row>
    <row r="27" customHeight="1" spans="2:22">
      <c r="B27" s="51" t="s">
        <v>886</v>
      </c>
      <c r="C27" s="60" t="s">
        <v>887</v>
      </c>
      <c r="E27" s="38">
        <f>IF(OR(B27=角色卡!$BD$22,B27=角色卡!$BH$22,B27=角色卡!$BD$24,B27=角色卡!$BH$24),"",ROW())</f>
        <v>27</v>
      </c>
      <c r="F27" s="38">
        <f>IF(OR(B27=角色卡!$BD$22,B27=角色卡!$BH$22,B27=角色卡!$BD$24,B27=角色卡!$BH$24),"",ROW())</f>
        <v>27</v>
      </c>
      <c r="G27" s="38">
        <f>IF(OR(B27=角色卡!$BD$22,B27=角色卡!$BH$22,B27=角色卡!$BD$24,B27=角色卡!$BH$24),"",ROW())</f>
        <v>27</v>
      </c>
      <c r="H27" s="38">
        <f>IF(OR(B27=角色卡!$BD$22,B27=角色卡!$BH$22,B27=角色卡!$BD$24,B27=角色卡!$BH$24),"",ROW())</f>
        <v>27</v>
      </c>
      <c r="I27" s="19" t="str" cm="1">
        <f t="array" ref="I27">IFERROR(INDEX(灵能印记!$B:$B,SMALL(灵能印记!$E:$E,ROWS(灵能印记!$A$4:$A27))),"")</f>
        <v>音爆</v>
      </c>
      <c r="J27" s="19" t="str" cm="1">
        <f t="array" ref="J27">IFERROR(INDEX(灵能印记!$B:$B,SMALL(灵能印记!$F:$F,ROWS(灵能印记!$A$4:$A27))),"")</f>
        <v>音爆</v>
      </c>
      <c r="K27" s="19" t="str" cm="1">
        <f t="array" ref="K27">IFERROR(INDEX(灵能印记!$B:$B,SMALL(灵能印记!$G:$G,ROWS(灵能印记!$A$4:$A27))),"")</f>
        <v>音爆</v>
      </c>
      <c r="L27" s="19" t="str" cm="1">
        <f t="array" ref="L27">IFERROR(INDEX(灵能印记!$B:$B,SMALL(灵能印记!$H:$H,ROWS(灵能印记!$A$4:$A27))),"")</f>
        <v>音爆</v>
      </c>
      <c r="M27" s="42"/>
      <c r="N27" s="42"/>
      <c r="O27" s="42"/>
      <c r="P27" s="42"/>
      <c r="Q27" s="42"/>
      <c r="R27" s="42"/>
      <c r="S27" s="42"/>
      <c r="T27" s="42"/>
      <c r="U27" s="42"/>
      <c r="V27" s="42"/>
    </row>
    <row r="28" customHeight="1" spans="2:22">
      <c r="B28" s="45" t="s">
        <v>888</v>
      </c>
      <c r="C28" s="59" t="s">
        <v>889</v>
      </c>
      <c r="E28" s="38">
        <f>IF(OR(B28=角色卡!$BD$22,B28=角色卡!$BH$22,B28=角色卡!$BD$24,B28=角色卡!$BH$24),"",ROW())</f>
        <v>28</v>
      </c>
      <c r="F28" s="38">
        <f>IF(OR(B28=角色卡!$BD$22,B28=角色卡!$BH$22,B28=角色卡!$BD$24,B28=角色卡!$BH$24),"",ROW())</f>
        <v>28</v>
      </c>
      <c r="G28" s="38">
        <f>IF(OR(B28=角色卡!$BD$22,B28=角色卡!$BH$22,B28=角色卡!$BD$24,B28=角色卡!$BH$24),"",ROW())</f>
        <v>28</v>
      </c>
      <c r="H28" s="38">
        <f>IF(OR(B28=角色卡!$BD$22,B28=角色卡!$BH$22,B28=角色卡!$BD$24,B28=角色卡!$BH$24),"",ROW())</f>
        <v>28</v>
      </c>
      <c r="I28" s="19" t="str" cm="1">
        <f t="array" ref="I28">IFERROR(INDEX(灵能印记!$B:$B,SMALL(灵能印记!$E:$E,ROWS(灵能印记!$A$4:$A28))),"")</f>
        <v>磁力</v>
      </c>
      <c r="J28" s="19" t="str" cm="1">
        <f t="array" ref="J28">IFERROR(INDEX(灵能印记!$B:$B,SMALL(灵能印记!$F:$F,ROWS(灵能印记!$A$4:$A28))),"")</f>
        <v>磁力</v>
      </c>
      <c r="K28" s="19" t="str" cm="1">
        <f t="array" ref="K28">IFERROR(INDEX(灵能印记!$B:$B,SMALL(灵能印记!$G:$G,ROWS(灵能印记!$A$4:$A28))),"")</f>
        <v>磁力</v>
      </c>
      <c r="L28" s="19" t="str" cm="1">
        <f t="array" ref="L28">IFERROR(INDEX(灵能印记!$B:$B,SMALL(灵能印记!$H:$H,ROWS(灵能印记!$A$4:$A28))),"")</f>
        <v>磁力</v>
      </c>
      <c r="M28" s="42"/>
      <c r="N28" s="42"/>
      <c r="O28" s="42"/>
      <c r="P28" s="42"/>
      <c r="Q28" s="42"/>
      <c r="R28" s="42"/>
      <c r="S28" s="42"/>
      <c r="T28" s="42"/>
      <c r="U28" s="42"/>
      <c r="V28" s="42"/>
    </row>
    <row r="29" customHeight="1" spans="2:22">
      <c r="B29" s="65" t="s">
        <v>890</v>
      </c>
      <c r="C29" s="66" t="s">
        <v>891</v>
      </c>
      <c r="E29" s="38">
        <f>IF(OR(B29=角色卡!$BD$22,B29=角色卡!$BH$22,B29=角色卡!$BD$24,B29=角色卡!$BH$24),"",ROW())</f>
        <v>29</v>
      </c>
      <c r="F29" s="38">
        <f>IF(OR(B29=角色卡!$BD$22,B29=角色卡!$BH$22,B29=角色卡!$BD$24,B29=角色卡!$BH$24),"",ROW())</f>
        <v>29</v>
      </c>
      <c r="G29" s="38">
        <f>IF(OR(B29=角色卡!$BD$22,B29=角色卡!$BH$22,B29=角色卡!$BD$24,B29=角色卡!$BH$24),"",ROW())</f>
        <v>29</v>
      </c>
      <c r="H29" s="38">
        <f>IF(OR(B29=角色卡!$BD$22,B29=角色卡!$BH$22,B29=角色卡!$BD$24,B29=角色卡!$BH$24),"",ROW())</f>
        <v>29</v>
      </c>
      <c r="I29" s="19" t="str" cm="1">
        <f t="array" ref="I29">IFERROR(INDEX(灵能印记!$B:$B,SMALL(灵能印记!$E:$E,ROWS(灵能印记!$A$4:$A29))),"")</f>
        <v>幻映</v>
      </c>
      <c r="J29" s="19" t="str" cm="1">
        <f t="array" ref="J29">IFERROR(INDEX(灵能印记!$B:$B,SMALL(灵能印记!$F:$F,ROWS(灵能印记!$A$4:$A29))),"")</f>
        <v>幻映</v>
      </c>
      <c r="K29" s="19" t="str" cm="1">
        <f t="array" ref="K29">IFERROR(INDEX(灵能印记!$B:$B,SMALL(灵能印记!$G:$G,ROWS(灵能印记!$A$4:$A29))),"")</f>
        <v>幻映</v>
      </c>
      <c r="L29" s="19" t="str" cm="1">
        <f t="array" ref="L29">IFERROR(INDEX(灵能印记!$B:$B,SMALL(灵能印记!$H:$H,ROWS(灵能印记!$A$4:$A29))),"")</f>
        <v>幻映</v>
      </c>
      <c r="M29" s="42"/>
      <c r="N29" s="42"/>
      <c r="O29" s="42"/>
      <c r="P29" s="42"/>
      <c r="Q29" s="42"/>
      <c r="R29" s="42"/>
      <c r="S29" s="42"/>
      <c r="T29" s="42"/>
      <c r="U29" s="42"/>
      <c r="V29" s="42"/>
    </row>
    <row r="30" customHeight="1" spans="2:22">
      <c r="B30" s="33" t="s">
        <v>16</v>
      </c>
      <c r="C30" s="33" t="s">
        <v>16</v>
      </c>
      <c r="E30" s="19">
        <f>IF(OR(B30=角色卡!$BD$22,B30=角色卡!$BH$22,B30=角色卡!$BD$24,B30=角色卡!$BH$24),"",ROW())</f>
        <v>30</v>
      </c>
      <c r="F30" s="19">
        <f>IF(OR(B30=角色卡!$BD$22,B30=角色卡!$BH$22,B30=角色卡!$BD$24,B30=角色卡!$BH$24),"",ROW())</f>
        <v>30</v>
      </c>
      <c r="G30" s="19">
        <f>IF(OR(B30=角色卡!$BD$22,B30=角色卡!$BH$22,B30=角色卡!$BD$24,B30=角色卡!$BH$24),"",ROW())</f>
        <v>30</v>
      </c>
      <c r="H30" s="19">
        <f>IF(OR(B30=角色卡!$BD$22,B30=角色卡!$BH$22,B30=角色卡!$BD$24,B30=角色卡!$BH$24),"",ROW())</f>
        <v>30</v>
      </c>
      <c r="I30" s="19" t="str" cm="1">
        <f t="array" ref="I30">IFERROR(INDEX(灵能印记!$B:$B,SMALL(灵能印记!$E:$E,ROWS(灵能印记!$A$4:$A30))),"")</f>
        <v> </v>
      </c>
      <c r="J30" s="19" t="str" cm="1">
        <f t="array" ref="J30">IFERROR(INDEX(灵能印记!$B:$B,SMALL(灵能印记!$F:$F,ROWS(灵能印记!$A$4:$A30))),"")</f>
        <v> </v>
      </c>
      <c r="K30" s="19" t="str" cm="1">
        <f t="array" ref="K30">IFERROR(INDEX(灵能印记!$B:$B,SMALL(灵能印记!$G:$G,ROWS(灵能印记!$A$4:$A30))),"")</f>
        <v> </v>
      </c>
      <c r="L30" s="19" t="str" cm="1">
        <f t="array" ref="L30">IFERROR(INDEX(灵能印记!$B:$B,SMALL(灵能印记!$H:$H,ROWS(灵能印记!$A$4:$A30))),"")</f>
        <v> </v>
      </c>
      <c r="M30" s="42"/>
      <c r="N30" s="42"/>
      <c r="O30" s="42"/>
      <c r="P30" s="42"/>
      <c r="Q30" s="42"/>
      <c r="R30" s="42"/>
      <c r="S30" s="42"/>
      <c r="T30" s="42"/>
      <c r="U30" s="42"/>
      <c r="V30" s="42"/>
    </row>
    <row r="31" customHeight="1" spans="2:22">
      <c r="E31" s="42"/>
      <c r="F31" s="42"/>
      <c r="G31" s="42"/>
      <c r="H31" s="42"/>
      <c r="I31" s="42"/>
      <c r="J31" s="42"/>
      <c r="K31" s="42"/>
      <c r="L31" s="42"/>
      <c r="M31" s="42"/>
      <c r="N31" s="42"/>
      <c r="O31" s="42"/>
      <c r="P31" s="42"/>
      <c r="Q31" s="42"/>
      <c r="R31" s="42"/>
      <c r="S31" s="42"/>
      <c r="T31" s="42"/>
      <c r="U31" s="42"/>
      <c r="V31" s="42"/>
    </row>
  </sheetData>
  <sheetProtection sheet="1" objects="1"/>
  <mergeCells count="1">
    <mergeCell ref="B2:C2"/>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F33"/>
  <sheetViews>
    <sheetView workbookViewId="0">
      <selection activeCell="B2" sqref="B2:C2"/>
    </sheetView>
  </sheetViews>
  <sheetFormatPr defaultColWidth="3.625" defaultRowHeight="18" customHeight="1"/>
  <cols>
    <col min="1" max="1" width="3.625" style="1" customWidth="1"/>
    <col min="2" max="2" width="12.625" style="6" customWidth="1"/>
    <col min="3" max="3" width="165.625" style="1" customWidth="1"/>
    <col min="4" max="16381" width="3.625" style="1" customWidth="1"/>
    <col min="16382" max="16384" width="3.625" style="1"/>
  </cols>
  <sheetData>
    <row r="2" ht="36" customHeight="1" spans="2:58">
      <c r="B2" s="34" t="s">
        <v>892</v>
      </c>
      <c r="C2" s="35"/>
      <c r="D2" s="36"/>
      <c r="E2" s="37" t="str">
        <f>IF(TRIM(角色卡!E35)="","",IFERROR(VLOOKUP(角色卡!E35,专长!$B$4:$C$32,2,0),""))</f>
        <v/>
      </c>
      <c r="F2" s="37" t="str">
        <f>IF(TRIM(角色卡!AU35)="","",IFERROR(VLOOKUP(角色卡!AU35,专长!$B$4:$C$32,2,0),""))</f>
        <v/>
      </c>
      <c r="G2" s="38"/>
      <c r="H2" s="38"/>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row>
    <row r="3" ht="36" customHeight="1" spans="2:58">
      <c r="B3" s="39" t="s">
        <v>45</v>
      </c>
      <c r="C3" s="40" t="s">
        <v>75</v>
      </c>
      <c r="D3" s="41"/>
      <c r="F3" s="42"/>
      <c r="G3" s="43"/>
      <c r="H3" s="43"/>
      <c r="I3" s="43"/>
      <c r="J3" s="43"/>
      <c r="K3" s="44"/>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row>
    <row r="4" ht="54" customHeight="1" spans="2:58">
      <c r="B4" s="45" t="s">
        <v>893</v>
      </c>
      <c r="C4" s="46" t="s">
        <v>894</v>
      </c>
      <c r="D4" s="47"/>
      <c r="F4" s="42"/>
      <c r="G4" s="48">
        <f>IF(OR(B4=角色卡!$E$35,B4=角色卡!$AU$35),"",ROW())</f>
        <v>4</v>
      </c>
      <c r="H4" s="48">
        <f>IF(OR(B4=角色卡!$E$35,B4=角色卡!$AU$35),"",ROW())</f>
        <v>4</v>
      </c>
      <c r="I4" s="49" t="str" cm="1">
        <f t="array" ref="I4">IFERROR(INDEX(专长!$B:$B,SMALL(专长!$G:$G,ROWS(专长!$A$4:$A4))),"")</f>
        <v>深度灵体合一</v>
      </c>
      <c r="J4" s="48" t="str" cm="1">
        <f t="array" ref="J4">IFERROR(INDEX(专长!$B:$B,SMALL(H:H,ROWS(专长!$A$4:$A4))),"")</f>
        <v>深度灵体合一</v>
      </c>
      <c r="K4" s="50"/>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row>
    <row r="5" customHeight="1" spans="2:58">
      <c r="B5" s="51" t="s">
        <v>895</v>
      </c>
      <c r="C5" s="52" t="s">
        <v>896</v>
      </c>
      <c r="D5" s="53"/>
      <c r="E5" s="53"/>
      <c r="F5" s="54"/>
      <c r="G5" s="48">
        <f>IF(OR(B5=角色卡!$E$35,B5=角色卡!$AU$35),"",ROW())</f>
        <v>5</v>
      </c>
      <c r="H5" s="48">
        <f>IF(OR(B5=角色卡!$E$35,B5=角色卡!$AU$35),"",ROW())</f>
        <v>5</v>
      </c>
      <c r="I5" s="49" t="str" cm="1">
        <f t="array" ref="I5">IFERROR(INDEX(专长!$B:$B,SMALL(专长!$G:$G,ROWS(专长!$A$4:$A5))),"")</f>
        <v>人生如戏</v>
      </c>
      <c r="J5" s="48" t="str" cm="1">
        <f t="array" ref="J5">IFERROR(INDEX(专长!$B:$B,SMALL(H:H,ROWS(专长!$A$4:$A5))),"")</f>
        <v>人生如戏</v>
      </c>
      <c r="K5" s="54"/>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row>
    <row r="6" customHeight="1" spans="2:58">
      <c r="B6" s="45" t="s">
        <v>897</v>
      </c>
      <c r="C6" s="55" t="s">
        <v>898</v>
      </c>
      <c r="D6" s="53"/>
      <c r="E6" s="53"/>
      <c r="F6" s="54"/>
      <c r="G6" s="48">
        <f>IF(OR(B6=角色卡!$E$35,B6=角色卡!$AU$35),"",ROW())</f>
        <v>6</v>
      </c>
      <c r="H6" s="48">
        <f>IF(OR(B6=角色卡!$E$35,B6=角色卡!$AU$35),"",ROW())</f>
        <v>6</v>
      </c>
      <c r="I6" s="49" t="str" cm="1">
        <f t="array" ref="I6">IFERROR(INDEX(专长!$B:$B,SMALL(专长!$G:$G,ROWS(专长!$A$4:$A6))),"")</f>
        <v>同仇</v>
      </c>
      <c r="J6" s="48" t="str" cm="1">
        <f t="array" ref="J6">IFERROR(INDEX(专长!$B:$B,SMALL(H:H,ROWS(专长!$A$4:$A6))),"")</f>
        <v>同仇</v>
      </c>
      <c r="K6" s="54"/>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row>
    <row r="7" customHeight="1" spans="2:58">
      <c r="B7" s="51" t="s">
        <v>899</v>
      </c>
      <c r="C7" s="52" t="s">
        <v>900</v>
      </c>
      <c r="D7" s="53"/>
      <c r="E7" s="53"/>
      <c r="F7" s="54"/>
      <c r="G7" s="48">
        <f>IF(OR(B7=角色卡!$E$35,B7=角色卡!$AU$35),"",ROW())</f>
        <v>7</v>
      </c>
      <c r="H7" s="48">
        <f>IF(OR(B7=角色卡!$E$35,B7=角色卡!$AU$35),"",ROW())</f>
        <v>7</v>
      </c>
      <c r="I7" s="49" t="str" cm="1">
        <f t="array" ref="I7">IFERROR(INDEX(专长!$B:$B,SMALL(专长!$G:$G,ROWS(专长!$A$4:$A7))),"")</f>
        <v>灵力觉醒</v>
      </c>
      <c r="J7" s="48" t="str" cm="1">
        <f t="array" ref="J7">IFERROR(INDEX(专长!$B:$B,SMALL(H:H,ROWS(专长!$A$4:$A7))),"")</f>
        <v>灵力觉醒</v>
      </c>
      <c r="K7" s="54"/>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row>
    <row r="8" customHeight="1" spans="2:58">
      <c r="B8" s="45" t="s">
        <v>901</v>
      </c>
      <c r="C8" s="55" t="s">
        <v>902</v>
      </c>
      <c r="D8" s="53"/>
      <c r="E8" s="53"/>
      <c r="F8" s="54"/>
      <c r="G8" s="48">
        <f>IF(OR(B8=角色卡!$E$35,B8=角色卡!$AU$35),"",ROW())</f>
        <v>8</v>
      </c>
      <c r="H8" s="48">
        <f>IF(OR(B8=角色卡!$E$35,B8=角色卡!$AU$35),"",ROW())</f>
        <v>8</v>
      </c>
      <c r="I8" s="49" t="str" cm="1">
        <f t="array" ref="I8">IFERROR(INDEX(专长!$B:$B,SMALL(专长!$G:$G,ROWS(专长!$A$4:$A8))),"")</f>
        <v>星聚体</v>
      </c>
      <c r="J8" s="48" t="str" cm="1">
        <f t="array" ref="J8">IFERROR(INDEX(专长!$B:$B,SMALL(H:H,ROWS(专长!$A$4:$A8))),"")</f>
        <v>星聚体</v>
      </c>
      <c r="K8" s="54"/>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row>
    <row r="9" ht="36" customHeight="1" spans="2:58">
      <c r="B9" s="51" t="s">
        <v>903</v>
      </c>
      <c r="C9" s="56" t="s">
        <v>904</v>
      </c>
      <c r="D9" s="47"/>
      <c r="E9" s="47"/>
      <c r="F9" s="50"/>
      <c r="G9" s="48">
        <f>IF(OR(B9=角色卡!$E$35,B9=角色卡!$AU$35),"",ROW())</f>
        <v>9</v>
      </c>
      <c r="H9" s="48">
        <f>IF(OR(B9=角色卡!$E$35,B9=角色卡!$AU$35),"",ROW())</f>
        <v>9</v>
      </c>
      <c r="I9" s="49" t="str" cm="1">
        <f t="array" ref="I9">IFERROR(INDEX(专长!$B:$B,SMALL(专长!$G:$G,ROWS(专长!$A$4:$A9))),"")</f>
        <v>武神体</v>
      </c>
      <c r="J9" s="48" t="str" cm="1">
        <f t="array" ref="J9">IFERROR(INDEX(专长!$B:$B,SMALL(H:H,ROWS(专长!$A$4:$A9))),"")</f>
        <v>武神体</v>
      </c>
      <c r="K9" s="50"/>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row>
    <row r="10" customHeight="1" spans="2:58">
      <c r="B10" s="45" t="s">
        <v>905</v>
      </c>
      <c r="C10" s="55" t="s">
        <v>906</v>
      </c>
      <c r="D10" s="53"/>
      <c r="E10" s="53"/>
      <c r="F10" s="54"/>
      <c r="G10" s="48">
        <f>IF(OR(B10=角色卡!$E$35,B10=角色卡!$AU$35),"",ROW())</f>
        <v>10</v>
      </c>
      <c r="H10" s="48">
        <f>IF(OR(B10=角色卡!$E$35,B10=角色卡!$AU$35),"",ROW())</f>
        <v>10</v>
      </c>
      <c r="I10" s="49" t="str" cm="1">
        <f t="array" ref="I10">IFERROR(INDEX(专长!$B:$B,SMALL(专长!$G:$G,ROWS(专长!$A$4:$A10))),"")</f>
        <v>逆势而上</v>
      </c>
      <c r="J10" s="48" t="str" cm="1">
        <f t="array" ref="J10">IFERROR(INDEX(专长!$B:$B,SMALL(H:H,ROWS(专长!$A$4:$A10))),"")</f>
        <v>逆势而上</v>
      </c>
      <c r="K10" s="54"/>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row>
    <row r="11" customHeight="1" spans="2:58">
      <c r="B11" s="51" t="s">
        <v>907</v>
      </c>
      <c r="C11" s="52" t="s">
        <v>908</v>
      </c>
      <c r="D11" s="53"/>
      <c r="E11" s="53"/>
      <c r="F11" s="54"/>
      <c r="G11" s="48">
        <f>IF(OR(B11=角色卡!$E$35,B11=角色卡!$AU$35),"",ROW())</f>
        <v>11</v>
      </c>
      <c r="H11" s="48">
        <f>IF(OR(B11=角色卡!$E$35,B11=角色卡!$AU$35),"",ROW())</f>
        <v>11</v>
      </c>
      <c r="I11" s="49" t="str" cm="1">
        <f t="array" ref="I11">IFERROR(INDEX(专长!$B:$B,SMALL(专长!$G:$G,ROWS(专长!$A$4:$A11))),"")</f>
        <v>人名树影</v>
      </c>
      <c r="J11" s="48" t="str" cm="1">
        <f t="array" ref="J11">IFERROR(INDEX(专长!$B:$B,SMALL(H:H,ROWS(专长!$A$4:$A11))),"")</f>
        <v>人名树影</v>
      </c>
      <c r="K11" s="54"/>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row>
    <row r="12" customHeight="1" spans="2:58">
      <c r="B12" s="45" t="s">
        <v>909</v>
      </c>
      <c r="C12" s="46" t="s">
        <v>910</v>
      </c>
      <c r="D12" s="47"/>
      <c r="E12" s="47"/>
      <c r="F12" s="50"/>
      <c r="G12" s="48">
        <f>IF(OR(B12=角色卡!$E$35,B12=角色卡!$AU$35),"",ROW())</f>
        <v>12</v>
      </c>
      <c r="H12" s="48">
        <f>IF(OR(B12=角色卡!$E$35,B12=角色卡!$AU$35),"",ROW())</f>
        <v>12</v>
      </c>
      <c r="I12" s="49" t="str" cm="1">
        <f t="array" ref="I12">IFERROR(INDEX(专长!$B:$B,SMALL(专长!$G:$G,ROWS(专长!$A$4:$A12))),"")</f>
        <v>先先之先</v>
      </c>
      <c r="J12" s="48" t="str" cm="1">
        <f t="array" ref="J12">IFERROR(INDEX(专长!$B:$B,SMALL(H:H,ROWS(专长!$A$4:$A12))),"")</f>
        <v>先先之先</v>
      </c>
      <c r="K12" s="50"/>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row>
    <row r="13" customHeight="1" spans="2:58">
      <c r="B13" s="51" t="s">
        <v>911</v>
      </c>
      <c r="C13" s="52" t="s">
        <v>912</v>
      </c>
      <c r="D13" s="53"/>
      <c r="E13" s="53"/>
      <c r="F13" s="54"/>
      <c r="G13" s="48">
        <f>IF(OR(B13=角色卡!$E$35,B13=角色卡!$AU$35),"",ROW())</f>
        <v>13</v>
      </c>
      <c r="H13" s="48">
        <f>IF(OR(B13=角色卡!$E$35,B13=角色卡!$AU$35),"",ROW())</f>
        <v>13</v>
      </c>
      <c r="I13" s="49" t="str" cm="1">
        <f t="array" ref="I13">IFERROR(INDEX(专长!$B:$B,SMALL(专长!$G:$G,ROWS(专长!$A$4:$A13))),"")</f>
        <v>战斗医师</v>
      </c>
      <c r="J13" s="48" t="str" cm="1">
        <f t="array" ref="J13">IFERROR(INDEX(专长!$B:$B,SMALL(H:H,ROWS(专长!$A$4:$A13))),"")</f>
        <v>战斗医师</v>
      </c>
      <c r="K13" s="54"/>
      <c r="L13" s="53"/>
      <c r="M13" s="53"/>
      <c r="N13" s="53"/>
      <c r="O13" s="53"/>
      <c r="P13" s="53"/>
      <c r="Q13" s="53"/>
      <c r="R13" s="53"/>
      <c r="S13" s="53"/>
      <c r="T13" s="53"/>
      <c r="U13" s="53"/>
      <c r="V13" s="53"/>
      <c r="W13" s="53"/>
      <c r="X13" s="53"/>
      <c r="Y13" s="53"/>
      <c r="Z13" s="53"/>
      <c r="AA13" s="53"/>
      <c r="AB13" s="53"/>
      <c r="AC13" s="53"/>
      <c r="AD13" s="53"/>
      <c r="AE13" s="53"/>
      <c r="AF13" s="53"/>
      <c r="AG13" s="53"/>
      <c r="AH13" s="53"/>
      <c r="AI13" s="53"/>
      <c r="AJ13" s="53"/>
      <c r="AK13" s="53"/>
      <c r="AL13" s="53"/>
      <c r="AM13" s="53"/>
      <c r="AN13" s="53"/>
      <c r="AO13" s="53"/>
      <c r="AP13" s="53"/>
      <c r="AQ13" s="53"/>
      <c r="AR13" s="53"/>
      <c r="AS13" s="53"/>
      <c r="AT13" s="53"/>
      <c r="AU13" s="53"/>
      <c r="AV13" s="53"/>
      <c r="AW13" s="53"/>
      <c r="AX13" s="53"/>
      <c r="AY13" s="53"/>
      <c r="AZ13" s="53"/>
      <c r="BA13" s="53"/>
      <c r="BB13" s="53"/>
      <c r="BC13" s="53"/>
      <c r="BD13" s="53"/>
      <c r="BE13" s="53"/>
      <c r="BF13" s="53"/>
    </row>
    <row r="14" customHeight="1" spans="2:58">
      <c r="B14" s="45" t="s">
        <v>913</v>
      </c>
      <c r="C14" s="55" t="s">
        <v>914</v>
      </c>
      <c r="D14" s="53"/>
      <c r="E14" s="53"/>
      <c r="F14" s="54"/>
      <c r="G14" s="48">
        <f>IF(OR(B14=角色卡!$E$35,B14=角色卡!$AU$35),"",ROW())</f>
        <v>14</v>
      </c>
      <c r="H14" s="48">
        <f>IF(OR(B14=角色卡!$E$35,B14=角色卡!$AU$35),"",ROW())</f>
        <v>14</v>
      </c>
      <c r="I14" s="49" t="str" cm="1">
        <f t="array" ref="I14">IFERROR(INDEX(专长!$B:$B,SMALL(专长!$G:$G,ROWS(专长!$A$4:$A14))),"")</f>
        <v>灵能导师</v>
      </c>
      <c r="J14" s="48" t="str" cm="1">
        <f t="array" ref="J14">IFERROR(INDEX(专长!$B:$B,SMALL(H:H,ROWS(专长!$A$4:$A14))),"")</f>
        <v>灵能导师</v>
      </c>
      <c r="K14" s="54"/>
      <c r="L14" s="53"/>
      <c r="M14" s="53"/>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53"/>
      <c r="AN14" s="53"/>
      <c r="AO14" s="53"/>
      <c r="AP14" s="53"/>
      <c r="AQ14" s="53"/>
      <c r="AR14" s="53"/>
      <c r="AS14" s="53"/>
      <c r="AT14" s="53"/>
      <c r="AU14" s="53"/>
      <c r="AV14" s="53"/>
      <c r="AW14" s="53"/>
      <c r="AX14" s="53"/>
      <c r="AY14" s="53"/>
      <c r="AZ14" s="53"/>
      <c r="BA14" s="53"/>
      <c r="BB14" s="53"/>
      <c r="BC14" s="53"/>
      <c r="BD14" s="53"/>
      <c r="BE14" s="53"/>
      <c r="BF14" s="53"/>
    </row>
    <row r="15" customHeight="1" spans="2:58">
      <c r="B15" s="51" t="s">
        <v>915</v>
      </c>
      <c r="C15" s="52" t="s">
        <v>916</v>
      </c>
      <c r="D15" s="53"/>
      <c r="E15" s="53"/>
      <c r="F15" s="54"/>
      <c r="G15" s="48">
        <f>IF(OR(B15=角色卡!$E$35,B15=角色卡!$AU$35),"",ROW())</f>
        <v>15</v>
      </c>
      <c r="H15" s="48">
        <f>IF(OR(B15=角色卡!$E$35,B15=角色卡!$AU$35),"",ROW())</f>
        <v>15</v>
      </c>
      <c r="I15" s="49" t="str" cm="1">
        <f t="array" ref="I15">IFERROR(INDEX(专长!$B:$B,SMALL(专长!$G:$G,ROWS(专长!$A$4:$A15))),"")</f>
        <v>凶猛武士</v>
      </c>
      <c r="J15" s="48" t="str" cm="1">
        <f t="array" ref="J15">IFERROR(INDEX(专长!$B:$B,SMALL(H:H,ROWS(专长!$A$4:$A15))),"")</f>
        <v>凶猛武士</v>
      </c>
      <c r="K15" s="54"/>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row>
    <row r="16" customHeight="1" spans="2:58">
      <c r="B16" s="45" t="s">
        <v>917</v>
      </c>
      <c r="C16" s="55" t="s">
        <v>918</v>
      </c>
      <c r="D16" s="53"/>
      <c r="E16" s="53"/>
      <c r="F16" s="54"/>
      <c r="G16" s="48">
        <f>IF(OR(B16=角色卡!$E$35,B16=角色卡!$AU$35),"",ROW())</f>
        <v>16</v>
      </c>
      <c r="H16" s="48">
        <f>IF(OR(B16=角色卡!$E$35,B16=角色卡!$AU$35),"",ROW())</f>
        <v>16</v>
      </c>
      <c r="I16" s="49" t="str" cm="1">
        <f t="array" ref="I16">IFERROR(INDEX(专长!$B:$B,SMALL(专长!$G:$G,ROWS(专长!$A$4:$A16))),"")</f>
        <v>凶暴术士</v>
      </c>
      <c r="J16" s="48" t="str" cm="1">
        <f t="array" ref="J16">IFERROR(INDEX(专长!$B:$B,SMALL(H:H,ROWS(专长!$A$4:$A16))),"")</f>
        <v>凶暴术士</v>
      </c>
      <c r="K16" s="54"/>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row>
    <row r="17" customHeight="1" spans="2:58">
      <c r="B17" s="51" t="s">
        <v>919</v>
      </c>
      <c r="C17" s="52" t="s">
        <v>920</v>
      </c>
      <c r="D17" s="53"/>
      <c r="E17" s="53"/>
      <c r="F17" s="54"/>
      <c r="G17" s="48">
        <f>IF(OR(B17=角色卡!$E$35,B17=角色卡!$AU$35),"",ROW())</f>
        <v>17</v>
      </c>
      <c r="H17" s="48">
        <f>IF(OR(B17=角色卡!$E$35,B17=角色卡!$AU$35),"",ROW())</f>
        <v>17</v>
      </c>
      <c r="I17" s="49" t="str" cm="1">
        <f t="array" ref="I17">IFERROR(INDEX(专长!$B:$B,SMALL(专长!$G:$G,ROWS(专长!$A$4:$A17))),"")</f>
        <v>万人迷</v>
      </c>
      <c r="J17" s="48" t="str" cm="1">
        <f t="array" ref="J17">IFERROR(INDEX(专长!$B:$B,SMALL(H:H,ROWS(专长!$A$4:$A17))),"")</f>
        <v>万人迷</v>
      </c>
      <c r="K17" s="54"/>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row>
    <row r="18" customHeight="1" spans="2:58">
      <c r="B18" s="45" t="s">
        <v>921</v>
      </c>
      <c r="C18" s="55" t="s">
        <v>922</v>
      </c>
      <c r="D18" s="53"/>
      <c r="E18" s="53"/>
      <c r="F18" s="54"/>
      <c r="G18" s="48">
        <f>IF(OR(B18=角色卡!$E$35,B18=角色卡!$AU$35),"",ROW())</f>
        <v>18</v>
      </c>
      <c r="H18" s="48">
        <f>IF(OR(B18=角色卡!$E$35,B18=角色卡!$AU$35),"",ROW())</f>
        <v>18</v>
      </c>
      <c r="I18" s="49" t="str" cm="1">
        <f t="array" ref="I18">IFERROR(INDEX(专长!$B:$B,SMALL(专长!$G:$G,ROWS(专长!$A$4:$A18))),"")</f>
        <v>干探</v>
      </c>
      <c r="J18" s="48" t="str" cm="1">
        <f t="array" ref="J18">IFERROR(INDEX(专长!$B:$B,SMALL(H:H,ROWS(专长!$A$4:$A18))),"")</f>
        <v>干探</v>
      </c>
      <c r="K18" s="54"/>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row>
    <row r="19" ht="36" customHeight="1" spans="2:58">
      <c r="B19" s="51" t="s">
        <v>923</v>
      </c>
      <c r="C19" s="56" t="s">
        <v>924</v>
      </c>
      <c r="D19" s="47"/>
      <c r="E19" s="47"/>
      <c r="F19" s="50"/>
      <c r="G19" s="48">
        <f>IF(OR(B19=角色卡!$E$35,B19=角色卡!$AU$35),"",ROW())</f>
        <v>19</v>
      </c>
      <c r="H19" s="48">
        <f>IF(OR(B19=角色卡!$E$35,B19=角色卡!$AU$35),"",ROW())</f>
        <v>19</v>
      </c>
      <c r="I19" s="49" t="str" cm="1">
        <f t="array" ref="I19">IFERROR(INDEX(专长!$B:$B,SMALL(专长!$G:$G,ROWS(专长!$A$4:$A19))),"")</f>
        <v>有备而来</v>
      </c>
      <c r="J19" s="48" t="str" cm="1">
        <f t="array" ref="J19">IFERROR(INDEX(专长!$B:$B,SMALL(H:H,ROWS(专长!$A$4:$A19))),"")</f>
        <v>有备而来</v>
      </c>
      <c r="K19" s="50"/>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row>
    <row r="20" customHeight="1" spans="2:58">
      <c r="B20" s="45" t="s">
        <v>925</v>
      </c>
      <c r="C20" s="55" t="s">
        <v>926</v>
      </c>
      <c r="D20" s="53"/>
      <c r="E20" s="53"/>
      <c r="F20" s="54"/>
      <c r="G20" s="48">
        <f>IF(OR(B20=角色卡!$E$35,B20=角色卡!$AU$35),"",ROW())</f>
        <v>20</v>
      </c>
      <c r="H20" s="48">
        <f>IF(OR(B20=角色卡!$E$35,B20=角色卡!$AU$35),"",ROW())</f>
        <v>20</v>
      </c>
      <c r="I20" s="49" t="str" cm="1">
        <f t="array" ref="I20">IFERROR(INDEX(专长!$B:$B,SMALL(专长!$G:$G,ROWS(专长!$A$4:$A20))),"")</f>
        <v>聚合灵效</v>
      </c>
      <c r="J20" s="48" t="str" cm="1">
        <f t="array" ref="J20">IFERROR(INDEX(专长!$B:$B,SMALL(H:H,ROWS(专长!$A$4:$A20))),"")</f>
        <v>聚合灵效</v>
      </c>
      <c r="K20" s="54"/>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row>
    <row r="21" customHeight="1" spans="2:58">
      <c r="B21" s="51" t="s">
        <v>927</v>
      </c>
      <c r="C21" s="52" t="s">
        <v>928</v>
      </c>
      <c r="D21" s="53"/>
      <c r="E21" s="53"/>
      <c r="F21" s="54"/>
      <c r="G21" s="48">
        <f>IF(OR(B21=角色卡!$E$35,B21=角色卡!$AU$35),"",ROW())</f>
        <v>21</v>
      </c>
      <c r="H21" s="48">
        <f>IF(OR(B21=角色卡!$E$35,B21=角色卡!$AU$35),"",ROW())</f>
        <v>21</v>
      </c>
      <c r="I21" s="49" t="str" cm="1">
        <f t="array" ref="I21">IFERROR(INDEX(专长!$B:$B,SMALL(专长!$G:$G,ROWS(专长!$A$4:$A21))),"")</f>
        <v>不动如山</v>
      </c>
      <c r="J21" s="48" t="str" cm="1">
        <f t="array" ref="J21">IFERROR(INDEX(专长!$B:$B,SMALL(H:H,ROWS(专长!$A$4:$A21))),"")</f>
        <v>不动如山</v>
      </c>
      <c r="K21" s="54"/>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row>
    <row r="22" ht="54" customHeight="1" spans="2:58">
      <c r="B22" s="45" t="s">
        <v>929</v>
      </c>
      <c r="C22" s="46" t="s">
        <v>930</v>
      </c>
      <c r="D22" s="53"/>
      <c r="E22" s="53"/>
      <c r="F22" s="54"/>
      <c r="G22" s="48">
        <f>IF(OR(B22=角色卡!$E$35,B22=角色卡!$AU$35),"",ROW())</f>
        <v>22</v>
      </c>
      <c r="H22" s="48">
        <f>IF(OR(B22=角色卡!$E$35,B22=角色卡!$AU$35),"",ROW())</f>
        <v>22</v>
      </c>
      <c r="I22" s="49" t="str" cm="1">
        <f t="array" ref="I22">IFERROR(INDEX(专长!$B:$B,SMALL(专长!$G:$G,ROWS(专长!$A$4:$A22))),"")</f>
        <v>反转劣势</v>
      </c>
      <c r="J22" s="48" t="str" cm="1">
        <f t="array" ref="J22">IFERROR(INDEX(专长!$B:$B,SMALL(H:H,ROWS(专长!$A$4:$A22))),"")</f>
        <v>反转劣势</v>
      </c>
      <c r="K22" s="54"/>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row>
    <row r="23" customHeight="1" spans="2:58">
      <c r="B23" s="51" t="s">
        <v>931</v>
      </c>
      <c r="C23" s="52" t="s">
        <v>932</v>
      </c>
      <c r="D23" s="53"/>
      <c r="E23" s="53"/>
      <c r="F23" s="54"/>
      <c r="G23" s="48">
        <f>IF(OR(B23=角色卡!$E$35,B23=角色卡!$AU$35),"",ROW())</f>
        <v>23</v>
      </c>
      <c r="H23" s="48">
        <f>IF(OR(B23=角色卡!$E$35,B23=角色卡!$AU$35),"",ROW())</f>
        <v>23</v>
      </c>
      <c r="I23" s="49" t="str" cm="1">
        <f t="array" ref="I23">IFERROR(INDEX(专长!$B:$B,SMALL(专长!$G:$G,ROWS(专长!$A$4:$A23))),"")</f>
        <v>画符大师</v>
      </c>
      <c r="J23" s="48" t="str" cm="1">
        <f t="array" ref="J23">IFERROR(INDEX(专长!$B:$B,SMALL(H:H,ROWS(专长!$A$4:$A23))),"")</f>
        <v>画符大师</v>
      </c>
      <c r="K23" s="54"/>
      <c r="L23" s="53"/>
      <c r="M23" s="53"/>
      <c r="N23" s="53"/>
      <c r="O23" s="53"/>
      <c r="P23" s="53"/>
      <c r="Q23" s="53"/>
      <c r="R23" s="53"/>
      <c r="S23" s="53"/>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row>
    <row r="24" customHeight="1" spans="2:58">
      <c r="B24" s="45" t="s">
        <v>933</v>
      </c>
      <c r="C24" s="55" t="s">
        <v>934</v>
      </c>
      <c r="D24" s="53"/>
      <c r="E24" s="53"/>
      <c r="F24" s="54"/>
      <c r="G24" s="48">
        <f>IF(OR(B24=角色卡!$E$35,B24=角色卡!$AU$35),"",ROW())</f>
        <v>24</v>
      </c>
      <c r="H24" s="48">
        <f>IF(OR(B24=角色卡!$E$35,B24=角色卡!$AU$35),"",ROW())</f>
        <v>24</v>
      </c>
      <c r="I24" s="49" t="str" cm="1">
        <f t="array" ref="I24">IFERROR(INDEX(专长!$B:$B,SMALL(专长!$G:$G,ROWS(专长!$A$4:$A24))),"")</f>
        <v>主角登场</v>
      </c>
      <c r="J24" s="48" t="str" cm="1">
        <f t="array" ref="J24">IFERROR(INDEX(专长!$B:$B,SMALL(H:H,ROWS(专长!$A$4:$A24))),"")</f>
        <v>主角登场</v>
      </c>
      <c r="K24" s="54"/>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row>
    <row r="25" customHeight="1" spans="2:58">
      <c r="B25" s="51" t="s">
        <v>935</v>
      </c>
      <c r="C25" s="52" t="s">
        <v>936</v>
      </c>
      <c r="D25" s="53"/>
      <c r="E25" s="53"/>
      <c r="F25" s="54"/>
      <c r="G25" s="48">
        <f>IF(OR(B25=角色卡!$E$35,B25=角色卡!$AU$35),"",ROW())</f>
        <v>25</v>
      </c>
      <c r="H25" s="48">
        <f>IF(OR(B25=角色卡!$E$35,B25=角色卡!$AU$35),"",ROW())</f>
        <v>25</v>
      </c>
      <c r="I25" s="49" t="str" cm="1">
        <f t="array" ref="I25">IFERROR(INDEX(专长!$B:$B,SMALL(专长!$G:$G,ROWS(专长!$A$4:$A25))),"")</f>
        <v>大艺术家</v>
      </c>
      <c r="J25" s="48" t="str" cm="1">
        <f t="array" ref="J25">IFERROR(INDEX(专长!$B:$B,SMALL(H:H,ROWS(专长!$A$4:$A25))),"")</f>
        <v>大艺术家</v>
      </c>
      <c r="K25" s="54"/>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row>
    <row r="26" customHeight="1" spans="2:58">
      <c r="B26" s="45" t="s">
        <v>937</v>
      </c>
      <c r="C26" s="55" t="s">
        <v>938</v>
      </c>
      <c r="D26" s="53"/>
      <c r="E26" s="53"/>
      <c r="F26" s="54"/>
      <c r="G26" s="48">
        <f>IF(OR(B26=角色卡!$E$35,B26=角色卡!$AU$35),"",ROW())</f>
        <v>26</v>
      </c>
      <c r="H26" s="48">
        <f>IF(OR(B26=角色卡!$E$35,B26=角色卡!$AU$35),"",ROW())</f>
        <v>26</v>
      </c>
      <c r="I26" s="49" t="str" cm="1">
        <f t="array" ref="I26">IFERROR(INDEX(专长!$B:$B,SMALL(专长!$G:$G,ROWS(专长!$A$4:$A26))),"")</f>
        <v>多重守护者</v>
      </c>
      <c r="J26" s="48" t="str" cm="1">
        <f t="array" ref="J26">IFERROR(INDEX(专长!$B:$B,SMALL(H:H,ROWS(专长!$A$4:$A26))),"")</f>
        <v>多重守护者</v>
      </c>
      <c r="K26" s="54"/>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row>
    <row r="27" customHeight="1" spans="2:58">
      <c r="B27" s="51" t="s">
        <v>939</v>
      </c>
      <c r="C27" s="52" t="s">
        <v>940</v>
      </c>
      <c r="D27" s="53"/>
      <c r="E27" s="53"/>
      <c r="F27" s="54"/>
      <c r="G27" s="48">
        <f>IF(OR(B27=角色卡!$E$35,B27=角色卡!$AU$35),"",ROW())</f>
        <v>27</v>
      </c>
      <c r="H27" s="48">
        <f>IF(OR(B27=角色卡!$E$35,B27=角色卡!$AU$35),"",ROW())</f>
        <v>27</v>
      </c>
      <c r="I27" s="49" t="str" cm="1">
        <f t="array" ref="I27">IFERROR(INDEX(专长!$B:$B,SMALL(专长!$G:$G,ROWS(专长!$A$4:$A27))),"")</f>
        <v>使者凭咒</v>
      </c>
      <c r="J27" s="48" t="str" cm="1">
        <f t="array" ref="J27">IFERROR(INDEX(专长!$B:$B,SMALL(H:H,ROWS(专长!$A$4:$A27))),"")</f>
        <v>使者凭咒</v>
      </c>
      <c r="K27" s="54"/>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row>
    <row r="28" ht="108" customHeight="1" spans="2:58">
      <c r="B28" s="45" t="s">
        <v>941</v>
      </c>
      <c r="C28" s="46" t="s">
        <v>942</v>
      </c>
      <c r="D28" s="47"/>
      <c r="E28" s="47"/>
      <c r="F28" s="50"/>
      <c r="G28" s="48">
        <f>IF(OR(B28=角色卡!$E$35,B28=角色卡!$AU$35),"",ROW())</f>
        <v>28</v>
      </c>
      <c r="H28" s="48">
        <f>IF(OR(B28=角色卡!$E$35,B28=角色卡!$AU$35),"",ROW())</f>
        <v>28</v>
      </c>
      <c r="I28" s="49" t="str" cm="1">
        <f t="array" ref="I28">IFERROR(INDEX(专长!$B:$B,SMALL(专长!$G:$G,ROWS(专长!$A$4:$A28))),"")</f>
        <v>灵币铸造</v>
      </c>
      <c r="J28" s="48" t="str" cm="1">
        <f t="array" ref="J28">IFERROR(INDEX(专长!$B:$B,SMALL(H:H,ROWS(专长!$A$4:$A28))),"")</f>
        <v>灵币铸造</v>
      </c>
      <c r="K28" s="50"/>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row>
    <row r="29" customHeight="1" spans="2:58">
      <c r="B29" s="51" t="s">
        <v>943</v>
      </c>
      <c r="C29" s="52" t="s">
        <v>944</v>
      </c>
      <c r="D29" s="53"/>
      <c r="E29" s="53"/>
      <c r="F29" s="54"/>
      <c r="G29" s="48">
        <f>IF(OR(B29=角色卡!$E$35,B29=角色卡!$AU$35),"",ROW())</f>
        <v>29</v>
      </c>
      <c r="H29" s="48">
        <f>IF(OR(B29=角色卡!$E$35,B29=角色卡!$AU$35),"",ROW())</f>
        <v>29</v>
      </c>
      <c r="I29" s="49" t="str" cm="1">
        <f t="array" ref="I29">IFERROR(INDEX(专长!$B:$B,SMALL(专长!$G:$G,ROWS(专长!$A$4:$A29))),"")</f>
        <v>赋罪者</v>
      </c>
      <c r="J29" s="48" t="str" cm="1">
        <f t="array" ref="J29">IFERROR(INDEX(专长!$B:$B,SMALL(H:H,ROWS(专长!$A$4:$A29))),"")</f>
        <v>赋罪者</v>
      </c>
      <c r="K29" s="54"/>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row>
    <row r="30" customHeight="1" spans="2:58">
      <c r="B30" s="45" t="s">
        <v>945</v>
      </c>
      <c r="C30" s="55" t="s">
        <v>946</v>
      </c>
      <c r="D30" s="53"/>
      <c r="E30" s="53"/>
      <c r="F30" s="54"/>
      <c r="G30" s="48">
        <f>IF(OR(B30=角色卡!$E$35,B30=角色卡!$AU$35),"",ROW())</f>
        <v>30</v>
      </c>
      <c r="H30" s="48">
        <f>IF(OR(B30=角色卡!$E$35,B30=角色卡!$AU$35),"",ROW())</f>
        <v>30</v>
      </c>
      <c r="I30" s="49" t="str" cm="1">
        <f t="array" ref="I30">IFERROR(INDEX(专长!$B:$B,SMALL(专长!$G:$G,ROWS(专长!$A$4:$A30))),"")</f>
        <v>狂武者</v>
      </c>
      <c r="J30" s="48" t="str" cm="1">
        <f t="array" ref="J30">IFERROR(INDEX(专长!$B:$B,SMALL(H:H,ROWS(专长!$A$4:$A30))),"")</f>
        <v>狂武者</v>
      </c>
      <c r="K30" s="54"/>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row>
    <row r="31" customHeight="1" spans="2:58">
      <c r="B31" s="51" t="s">
        <v>947</v>
      </c>
      <c r="C31" s="52" t="s">
        <v>948</v>
      </c>
      <c r="D31" s="53"/>
      <c r="E31" s="53"/>
      <c r="F31" s="54"/>
      <c r="G31" s="48">
        <f>IF(OR(B31=角色卡!$E$35,B31=角色卡!$AU$35),"",ROW())</f>
        <v>31</v>
      </c>
      <c r="H31" s="48">
        <f>IF(OR(B31=角色卡!$E$35,B31=角色卡!$AU$35),"",ROW())</f>
        <v>31</v>
      </c>
      <c r="I31" s="49" t="str" cm="1">
        <f t="array" ref="I31">IFERROR(INDEX(专长!$B:$B,SMALL(专长!$G:$G,ROWS(专长!$A$4:$A31))),"")</f>
        <v>乱法者</v>
      </c>
      <c r="J31" s="48" t="str" cm="1">
        <f t="array" ref="J31">IFERROR(INDEX(专长!$B:$B,SMALL(H:H,ROWS(专长!$A$4:$A31))),"")</f>
        <v>乱法者</v>
      </c>
      <c r="K31" s="54"/>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row>
    <row r="32" ht="314" customHeight="1" spans="2:58">
      <c r="B32" s="57" t="s">
        <v>949</v>
      </c>
      <c r="C32" s="58" t="s">
        <v>950</v>
      </c>
      <c r="D32" s="47"/>
      <c r="E32" s="47"/>
      <c r="F32" s="50"/>
      <c r="G32" s="48">
        <f>IF(OR(B32=角色卡!$E$35,B32=角色卡!$AU$35),"",ROW())</f>
        <v>32</v>
      </c>
      <c r="H32" s="48">
        <f>IF(OR(B32=角色卡!$E$35,B32=角色卡!$AU$35),"",ROW())</f>
        <v>32</v>
      </c>
      <c r="I32" s="49" t="str" cm="1">
        <f t="array" ref="I32">IFERROR(INDEX(专长!$B:$B,SMALL(专长!$G:$G,ROWS(专长!$A$4:$A32))),"")</f>
        <v>灵兽招来</v>
      </c>
      <c r="J32" s="48" t="str" cm="1">
        <f t="array" ref="J32">IFERROR(INDEX(专长!$B:$B,SMALL(H:H,ROWS(专长!$A$4:$A32))),"")</f>
        <v>灵兽招来</v>
      </c>
      <c r="K32" s="50"/>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row>
    <row r="33" customHeight="1" spans="2:10">
      <c r="B33" s="33" t="s">
        <v>16</v>
      </c>
      <c r="C33" s="33" t="s">
        <v>16</v>
      </c>
      <c r="G33" s="48">
        <f>IF(OR(B33=角色卡!$E$35,B33=角色卡!$AU$35),"",ROW())</f>
        <v>33</v>
      </c>
      <c r="H33" s="48">
        <f>IF(OR(B33=角色卡!$E$35,B33=角色卡!$AU$35),"",ROW())</f>
        <v>33</v>
      </c>
      <c r="I33" s="49" t="str" cm="1">
        <f t="array" ref="I33">IFERROR(INDEX(专长!$B:$B,SMALL(专长!$G:$G,ROWS(专长!$A$4:$A33))),"")</f>
        <v> </v>
      </c>
      <c r="J33" s="48" t="str" cm="1">
        <f t="array" ref="J33">IFERROR(INDEX(专长!$B:$B,SMALL(H:H,ROWS(专长!$A$4:$A33))),"")</f>
        <v> </v>
      </c>
    </row>
  </sheetData>
  <sheetProtection sheet="1" objects="1"/>
  <mergeCells count="1">
    <mergeCell ref="B2:C2"/>
  </mergeCell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I15"/>
  <sheetViews>
    <sheetView workbookViewId="0">
      <selection activeCell="B2" sqref="B2:G2"/>
    </sheetView>
  </sheetViews>
  <sheetFormatPr defaultColWidth="3.625" defaultRowHeight="18" customHeight="1"/>
  <cols>
    <col min="1" max="1" width="3.625" style="1" customWidth="1"/>
    <col min="2" max="2" width="12.625" style="6" customWidth="1"/>
    <col min="3" max="3" width="9.625" style="6" customWidth="1"/>
    <col min="4" max="4" width="12.625" style="6" customWidth="1"/>
    <col min="5" max="5" width="123.625" style="1" customWidth="1"/>
    <col min="6" max="6" width="54.625" style="1" customWidth="1"/>
    <col min="7" max="7" width="6.625" style="1" customWidth="1"/>
    <col min="8" max="16330" width="3.625" style="1" customWidth="1"/>
    <col min="16331" max="16384" width="3.625" style="1"/>
  </cols>
  <sheetData>
    <row r="2" ht="36" customHeight="1" spans="2:9">
      <c r="B2" s="7" t="s">
        <v>951</v>
      </c>
      <c r="C2" s="8"/>
      <c r="D2" s="8"/>
      <c r="E2" s="8"/>
      <c r="F2" s="8"/>
      <c r="G2" s="9"/>
    </row>
    <row r="3" ht="36" customHeight="1" spans="2:9">
      <c r="B3" s="10" t="s">
        <v>952</v>
      </c>
      <c r="C3" s="11" t="s">
        <v>59</v>
      </c>
      <c r="D3" s="12" t="s">
        <v>953</v>
      </c>
      <c r="E3" s="11" t="s">
        <v>75</v>
      </c>
      <c r="F3" s="11" t="s">
        <v>69</v>
      </c>
      <c r="G3" s="13" t="s">
        <v>954</v>
      </c>
    </row>
    <row r="4" ht="90" customHeight="1" spans="2:9">
      <c r="B4" s="14" t="s">
        <v>955</v>
      </c>
      <c r="C4" s="15" t="s">
        <v>956</v>
      </c>
      <c r="D4" s="16" t="s">
        <v>957</v>
      </c>
      <c r="E4" s="17" t="s">
        <v>958</v>
      </c>
      <c r="F4" s="17" t="s">
        <v>959</v>
      </c>
      <c r="G4" s="18" t="s">
        <v>960</v>
      </c>
      <c r="I4" s="19" t="str">
        <f>IF(角色卡!$BN$22=0,"",VLOOKUP(角色卡!$BN$22,绝技!$B$4:$F$11,5,0))</f>
        <v> </v>
      </c>
    </row>
    <row r="5" ht="90" customHeight="1" spans="2:9">
      <c r="B5" s="14" t="s">
        <v>961</v>
      </c>
      <c r="C5" s="15" t="s">
        <v>962</v>
      </c>
      <c r="D5" s="16" t="s">
        <v>963</v>
      </c>
      <c r="E5" s="17" t="s">
        <v>964</v>
      </c>
      <c r="F5" s="17" t="s">
        <v>965</v>
      </c>
      <c r="G5" s="20"/>
    </row>
    <row r="6" ht="90" customHeight="1" spans="2:9">
      <c r="B6" s="14" t="s">
        <v>966</v>
      </c>
      <c r="C6" s="15" t="s">
        <v>967</v>
      </c>
      <c r="D6" s="16" t="s">
        <v>968</v>
      </c>
      <c r="E6" s="17" t="s">
        <v>969</v>
      </c>
      <c r="F6" s="17" t="s">
        <v>970</v>
      </c>
      <c r="G6" s="20"/>
    </row>
    <row r="7" ht="90" customHeight="1" spans="2:9">
      <c r="B7" s="14" t="s">
        <v>971</v>
      </c>
      <c r="C7" s="15" t="s">
        <v>972</v>
      </c>
      <c r="D7" s="16" t="s">
        <v>973</v>
      </c>
      <c r="E7" s="17" t="s">
        <v>974</v>
      </c>
      <c r="F7" s="17" t="s">
        <v>975</v>
      </c>
      <c r="G7" s="20"/>
    </row>
    <row r="8" ht="108" customHeight="1" spans="2:9">
      <c r="B8" s="14" t="s">
        <v>976</v>
      </c>
      <c r="C8" s="15" t="s">
        <v>977</v>
      </c>
      <c r="D8" s="16" t="s">
        <v>978</v>
      </c>
      <c r="E8" s="17" t="s">
        <v>979</v>
      </c>
      <c r="F8" s="17" t="s">
        <v>980</v>
      </c>
      <c r="G8" s="20"/>
    </row>
    <row r="9" ht="90" customHeight="1" spans="2:9">
      <c r="B9" s="14" t="s">
        <v>981</v>
      </c>
      <c r="C9" s="15" t="s">
        <v>982</v>
      </c>
      <c r="D9" s="16" t="s">
        <v>983</v>
      </c>
      <c r="E9" s="17" t="s">
        <v>984</v>
      </c>
      <c r="F9" s="17" t="s">
        <v>985</v>
      </c>
      <c r="G9" s="20"/>
    </row>
    <row r="10" ht="90" customHeight="1" spans="2:9">
      <c r="B10" s="14" t="s">
        <v>986</v>
      </c>
      <c r="C10" s="15" t="s">
        <v>987</v>
      </c>
      <c r="D10" s="16" t="s">
        <v>988</v>
      </c>
      <c r="E10" s="17" t="s">
        <v>989</v>
      </c>
      <c r="F10" s="17" t="s">
        <v>990</v>
      </c>
      <c r="G10" s="21"/>
    </row>
    <row r="11" customHeight="1" spans="2:9">
      <c r="B11" s="2" t="s">
        <v>16</v>
      </c>
      <c r="C11" s="2" t="s">
        <v>16</v>
      </c>
      <c r="D11" s="2" t="s">
        <v>16</v>
      </c>
      <c r="E11" s="2" t="s">
        <v>16</v>
      </c>
      <c r="F11" s="2" t="s">
        <v>16</v>
      </c>
      <c r="G11" s="2" t="s">
        <v>16</v>
      </c>
    </row>
    <row r="12" ht="108" customHeight="1" spans="2:9">
      <c r="B12" s="22" t="s">
        <v>991</v>
      </c>
      <c r="C12" s="23" t="s">
        <v>992</v>
      </c>
      <c r="D12" s="24" t="s">
        <v>993</v>
      </c>
      <c r="E12" s="25" t="s">
        <v>994</v>
      </c>
      <c r="F12" s="25" t="s">
        <v>995</v>
      </c>
      <c r="G12" s="26" t="s">
        <v>996</v>
      </c>
      <c r="I12" s="19" t="str">
        <f>IF(角色卡!$BZ$22=0,"",VLOOKUP(角色卡!$BZ$22,绝技!$B$12:$F$15,5,0))</f>
        <v> </v>
      </c>
    </row>
    <row r="13" ht="90" customHeight="1" spans="2:9">
      <c r="B13" s="22" t="s">
        <v>997</v>
      </c>
      <c r="C13" s="23" t="s">
        <v>998</v>
      </c>
      <c r="D13" s="24" t="s">
        <v>999</v>
      </c>
      <c r="E13" s="25" t="s">
        <v>1000</v>
      </c>
      <c r="F13" s="25" t="s">
        <v>1001</v>
      </c>
      <c r="G13" s="27"/>
    </row>
    <row r="14" ht="90" customHeight="1" spans="2:9">
      <c r="B14" s="28" t="s">
        <v>1002</v>
      </c>
      <c r="C14" s="29" t="s">
        <v>1003</v>
      </c>
      <c r="D14" s="30" t="s">
        <v>1004</v>
      </c>
      <c r="E14" s="31" t="s">
        <v>1005</v>
      </c>
      <c r="F14" s="31" t="s">
        <v>1006</v>
      </c>
      <c r="G14" s="32"/>
    </row>
    <row r="15" customHeight="1" spans="2:9">
      <c r="B15" s="33" t="s">
        <v>16</v>
      </c>
      <c r="C15" s="33" t="s">
        <v>16</v>
      </c>
      <c r="D15" s="33" t="s">
        <v>16</v>
      </c>
      <c r="E15" s="33" t="s">
        <v>16</v>
      </c>
      <c r="F15" s="33" t="s">
        <v>16</v>
      </c>
      <c r="G15" s="33" t="s">
        <v>16</v>
      </c>
    </row>
  </sheetData>
  <sheetProtection sheet="1" objects="1"/>
  <mergeCells count="3">
    <mergeCell ref="B2:G2"/>
    <mergeCell ref="G4:G10"/>
    <mergeCell ref="G12:G14"/>
  </mergeCell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
  <sheetViews>
    <sheetView workbookViewId="0">
      <selection activeCell="A1" sqref="A1"/>
    </sheetView>
  </sheetViews>
  <sheetFormatPr defaultColWidth="9" defaultRowHeight="13.5"/>
  <sheetData>
    <row r="1" spans="1:13">
      <c r="A1" s="2" t="s">
        <v>1007</v>
      </c>
      <c r="B1" s="2" t="s">
        <v>1008</v>
      </c>
      <c r="C1" s="2"/>
      <c r="D1" s="2" t="s">
        <v>1009</v>
      </c>
      <c r="E1" s="2"/>
      <c r="F1" s="2"/>
      <c r="G1" s="2"/>
      <c r="H1" s="2"/>
      <c r="I1" s="2"/>
      <c r="J1" s="2"/>
      <c r="K1" s="2"/>
      <c r="L1" s="2"/>
      <c r="M1" s="2"/>
    </row>
    <row r="2" spans="1:13">
      <c r="A2" s="2" t="s">
        <v>1010</v>
      </c>
      <c r="B2" s="2" t="s">
        <v>1011</v>
      </c>
      <c r="C2" s="2"/>
      <c r="D2" s="3" t="s">
        <v>1012</v>
      </c>
      <c r="E2" s="3"/>
      <c r="F2" s="3"/>
      <c r="G2" s="3"/>
      <c r="H2" s="3"/>
      <c r="I2" s="3"/>
      <c r="J2" s="3"/>
      <c r="K2" s="3"/>
      <c r="L2" s="3"/>
      <c r="M2" s="3"/>
    </row>
    <row r="3" spans="1:13">
      <c r="A3" s="2"/>
      <c r="B3" s="2"/>
      <c r="C3" s="2"/>
      <c r="D3" s="3"/>
      <c r="E3" s="3"/>
      <c r="F3" s="3"/>
      <c r="G3" s="3"/>
      <c r="H3" s="3"/>
      <c r="I3" s="3"/>
      <c r="J3" s="3"/>
      <c r="K3" s="3"/>
      <c r="L3" s="3"/>
      <c r="M3" s="3"/>
    </row>
    <row r="4" spans="1:13">
      <c r="A4" s="2"/>
      <c r="B4" s="2"/>
      <c r="C4" s="2"/>
      <c r="D4" s="3"/>
      <c r="E4" s="3"/>
      <c r="F4" s="3"/>
      <c r="G4" s="3"/>
      <c r="H4" s="3"/>
      <c r="I4" s="3"/>
      <c r="J4" s="3"/>
      <c r="K4" s="3"/>
      <c r="L4" s="3"/>
      <c r="M4" s="3"/>
    </row>
    <row r="5" spans="1:13">
      <c r="A5" t="s">
        <v>1013</v>
      </c>
      <c r="B5" s="2" t="s">
        <v>1014</v>
      </c>
      <c r="C5" s="2"/>
      <c r="D5" s="2" t="s">
        <v>1015</v>
      </c>
      <c r="E5" s="2"/>
      <c r="F5" s="2"/>
      <c r="G5" s="2"/>
      <c r="H5" s="2"/>
      <c r="I5" s="2"/>
      <c r="J5" s="2"/>
      <c r="K5" s="2"/>
      <c r="L5" s="2"/>
      <c r="M5" s="2"/>
    </row>
    <row r="6" spans="1:13">
      <c r="A6" t="s">
        <v>1016</v>
      </c>
      <c r="B6" s="2" t="s">
        <v>1017</v>
      </c>
      <c r="C6" s="2"/>
      <c r="D6" s="2" t="s">
        <v>1018</v>
      </c>
      <c r="E6" s="2"/>
      <c r="F6" s="2"/>
      <c r="G6" s="2"/>
      <c r="H6" s="2"/>
      <c r="I6" s="2"/>
      <c r="J6" s="2"/>
      <c r="K6" s="2"/>
      <c r="L6" s="2"/>
      <c r="M6" s="2"/>
    </row>
    <row r="7" spans="1:13">
      <c r="A7" s="2" t="s">
        <v>1019</v>
      </c>
      <c r="B7" s="2" t="s">
        <v>1020</v>
      </c>
      <c r="C7" s="2"/>
      <c r="D7" s="4" t="s">
        <v>1021</v>
      </c>
      <c r="E7" s="4"/>
      <c r="F7" s="4"/>
      <c r="G7" s="4"/>
      <c r="H7" s="4"/>
      <c r="I7" s="4"/>
      <c r="J7" s="4"/>
      <c r="K7" s="4"/>
      <c r="L7" s="4"/>
      <c r="M7" s="4"/>
    </row>
    <row r="8" spans="1:13">
      <c r="A8" s="2"/>
      <c r="B8" s="2"/>
      <c r="C8" s="2"/>
      <c r="D8" s="4"/>
      <c r="E8" s="4"/>
      <c r="F8" s="4"/>
      <c r="G8" s="4"/>
      <c r="H8" s="4"/>
      <c r="I8" s="4"/>
      <c r="J8" s="4"/>
      <c r="K8" s="4"/>
      <c r="L8" s="4"/>
      <c r="M8" s="4"/>
    </row>
    <row r="9" spans="1:13">
      <c r="A9" s="2"/>
      <c r="B9" s="2"/>
      <c r="C9" s="2"/>
      <c r="D9" s="4"/>
      <c r="E9" s="4"/>
      <c r="F9" s="4"/>
      <c r="G9" s="4"/>
      <c r="H9" s="4"/>
      <c r="I9" s="4"/>
      <c r="J9" s="4"/>
      <c r="K9" s="4"/>
      <c r="L9" s="4"/>
      <c r="M9" s="4"/>
    </row>
    <row r="10" spans="1:13">
      <c r="A10" t="s">
        <v>1022</v>
      </c>
      <c r="B10" s="5" t="s">
        <v>1023</v>
      </c>
      <c r="C10" s="5"/>
      <c r="D10" s="5" t="s">
        <v>1024</v>
      </c>
      <c r="E10" s="5"/>
      <c r="F10" s="5"/>
      <c r="G10" s="5"/>
      <c r="H10" s="5"/>
      <c r="I10" s="5"/>
      <c r="J10" s="5"/>
      <c r="K10" s="5"/>
      <c r="L10" s="5"/>
      <c r="M10" s="5"/>
    </row>
  </sheetData>
  <mergeCells count="14">
    <mergeCell ref="B1:C1"/>
    <mergeCell ref="D1:M1"/>
    <mergeCell ref="B5:C5"/>
    <mergeCell ref="D5:M5"/>
    <mergeCell ref="B6:C6"/>
    <mergeCell ref="D6:M6"/>
    <mergeCell ref="B10:C10"/>
    <mergeCell ref="D10:M10"/>
    <mergeCell ref="A2:A4"/>
    <mergeCell ref="A7:A9"/>
    <mergeCell ref="D2:M4"/>
    <mergeCell ref="B2:C4"/>
    <mergeCell ref="D7:M9"/>
    <mergeCell ref="B7:C9"/>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N11" sqref="N11"/>
    </sheetView>
  </sheetViews>
  <sheetFormatPr defaultColWidth="3.625" defaultRowHeight="18" customHeight="1"/>
  <cols>
    <col min="1" max="16384" width="3.625" style="1" customWidth="1"/>
  </cols>
  <sheetData/>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11" master="" otherUserPermission="visible"/>
  <rangeList sheetStid="13" master="" otherUserPermission="visible"/>
  <rangeList sheetStid="8" master="" otherUserPermission="visible"/>
  <rangeList sheetStid="9" master="" otherUserPermission="visible"/>
  <rangeList sheetStid="5" master="" otherUserPermission="visible"/>
  <rangeList sheetStid="6" master="" otherUserPermission="visible"/>
  <rangeList sheetStid="7" master="" otherUserPermission="visible"/>
  <rangeList sheetStid="14"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角色卡</vt:lpstr>
      <vt:lpstr>属性与灵识</vt:lpstr>
      <vt:lpstr>时髦动作</vt:lpstr>
      <vt:lpstr>通用效果</vt:lpstr>
      <vt:lpstr>武技</vt:lpstr>
      <vt:lpstr>术法</vt:lpstr>
      <vt:lpstr>灵能印记</vt:lpstr>
      <vt:lpstr>专长</vt:lpstr>
      <vt:lpstr>绝技</vt:lpstr>
      <vt:lpstr>更新日志</vt:lpstr>
      <vt:lpstr>空白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Root</cp:lastModifiedBy>
  <dcterms:created xsi:type="dcterms:W3CDTF">2023-05-12T11:15:00Z</dcterms:created>
  <dcterms:modified xsi:type="dcterms:W3CDTF">2026-01-25T09:55:48Z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162FBF3323584B03AFA6E193793E461A_13</vt:lpwstr>
  </property>
  <property fmtid="{D5CDD505-2E9C-101B-9397-08002B2CF9AE}" pid="4" name="CalculationRule">
    <vt:i4>0</vt:i4>
  </property>
</Properties>
</file>